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a881200fc4196e/Desktop/Meta Finance Change/Templates/"/>
    </mc:Choice>
  </mc:AlternateContent>
  <xr:revisionPtr revIDLastSave="6" documentId="8_{7BC8A176-083E-45CD-939E-04A7BA036053}" xr6:coauthVersionLast="47" xr6:coauthVersionMax="47" xr10:uidLastSave="{5D107EFE-F96B-4E39-8198-4974C2F86579}"/>
  <bookViews>
    <workbookView xWindow="28680" yWindow="1425" windowWidth="20730" windowHeight="11040" xr2:uid="{4C53D685-5C20-44BC-B4C7-EBDCFE2375CA}"/>
  </bookViews>
  <sheets>
    <sheet name="data_request_log" sheetId="1" r:id="rId1"/>
  </sheets>
  <externalReferences>
    <externalReference r:id="rId2"/>
    <externalReference r:id="rId3"/>
    <externalReference r:id="rId4"/>
  </externalReferences>
  <definedNames>
    <definedName name="_Fill" hidden="1">#REF!</definedName>
    <definedName name="_Order1" hidden="1">255</definedName>
    <definedName name="_Order2" hidden="1">255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seYear">'[1]Cover Page'!$C$13</definedName>
    <definedName name="BG_Del" hidden="1">15</definedName>
    <definedName name="BG_Ins" hidden="1">4</definedName>
    <definedName name="BG_Mod" hidden="1">6</definedName>
    <definedName name="Company">'[2]1_Cover Page'!$D$3</definedName>
    <definedName name="Company2">'[1]Cover Page'!$C$6</definedName>
    <definedName name="DateHeader">'[2]1_Cover Page'!$D$6</definedName>
    <definedName name="DollarHeader">'[2]1_Cover Page'!$D$4</definedName>
    <definedName name="DollarHeader2">'[1]Cover Page'!$D$12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"IQ_REVENUE_EST"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38917.7041435185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  <definedName name="ok" hidden="1">{#N/A,#N/A,TRUE}</definedName>
    <definedName name="_xlnm.Print_Area" localSheetId="0">data_request_log!$A$1:$I$50</definedName>
    <definedName name="_xlnm.Print_Titles" localSheetId="0">data_request_log!$1:$6</definedName>
    <definedName name="status">[3]Sheet2!$B$3:$B$7</definedName>
    <definedName name="wrn.DETAILPL." hidden="1">{#N/A,#N/A,TRUE}</definedName>
    <definedName name="YearEndDay">'[2]1_Cover Page'!$D$7</definedName>
    <definedName name="YearEndMonth">'[2]1_Cover Page'!$D$5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" i="1" l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26" i="1"/>
  <c r="B27" i="1" s="1"/>
  <c r="B28" i="1" s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<sst xmlns="http://schemas.openxmlformats.org/spreadsheetml/2006/main" count="276" uniqueCount="106">
  <si>
    <t>Item</t>
  </si>
  <si>
    <t>Date Received</t>
  </si>
  <si>
    <t>Comments</t>
  </si>
  <si>
    <t>Location</t>
  </si>
  <si>
    <t>Finance and Accounting</t>
  </si>
  <si>
    <t>Incomplete</t>
  </si>
  <si>
    <t xml:space="preserve">Complete </t>
  </si>
  <si>
    <t>Open</t>
  </si>
  <si>
    <t>A summary of inventory, with book values, by category</t>
  </si>
  <si>
    <t>Sales and Marketing</t>
  </si>
  <si>
    <t>Complete</t>
  </si>
  <si>
    <t>List of fixed assets with depreciation schedule</t>
  </si>
  <si>
    <t>Machinery and equipment appraisals</t>
  </si>
  <si>
    <t>Corporate insurance policies, D&amp;O policy and list of any insurance claims</t>
  </si>
  <si>
    <t>Benefit plans and bonus agreements</t>
  </si>
  <si>
    <t>All union and union-related agreements</t>
  </si>
  <si>
    <t>License agreements</t>
  </si>
  <si>
    <t>401K and related retirement programs</t>
  </si>
  <si>
    <t>Any pending law suits or litigation</t>
  </si>
  <si>
    <t>(Please complete requests as fully and completely as possible. Microsoft Excel is preferred for financial files.)</t>
  </si>
  <si>
    <t xml:space="preserve">Audited financial statements including all footnotes </t>
  </si>
  <si>
    <t>9/15</t>
  </si>
  <si>
    <t>Company prepared short-term cash flow projections including any prior cash flow activity</t>
  </si>
  <si>
    <t>The Company’s 5-year business plan. A description of major assumptions included in the plan including timing and projected costs/savings fromoperational initiatives</t>
  </si>
  <si>
    <t>N/A</t>
  </si>
  <si>
    <t>9/22</t>
  </si>
  <si>
    <t>- Received</t>
  </si>
  <si>
    <t>Incompete</t>
  </si>
  <si>
    <t>Monthly consolidating and annual financial statements including income statement, balance sheet and cash flows, including any management comentary about trends, developments, and variances.</t>
  </si>
  <si>
    <t>- Added GL files into this folder; Obtained monthly financials - no breakouts by entity; * Missing Item*: No management commentary or variance analysis</t>
  </si>
  <si>
    <t>-Received analysis of receipts/disbursements only for A/R and A/P; No other receipts/ disbursements activity available in clean, repeatable format.</t>
  </si>
  <si>
    <t>Performance metrics dashboads and key performance indicator (“KPI”) reports</t>
  </si>
  <si>
    <t>- Received KPI dashboards for product units and throughput for all geographies</t>
  </si>
  <si>
    <t>Current Accounts Payable aging summary by vendor and classifications. Please provide a summary of vendor credit terms and a reconciliation to the balance sheet if possible</t>
  </si>
  <si>
    <t xml:space="preserve">- Recevied a very limited summary by vendor without classifications and no reconciliation to BS.
- Provided end of month aging for most recent period but nothing prior.
</t>
  </si>
  <si>
    <t>Current Accounts Receivable aging summary by customer. Please note whether the reports are prepared on an invoice or due date basis and provide a listing of customer payment terms</t>
  </si>
  <si>
    <t xml:space="preserve">- Received </t>
  </si>
  <si>
    <t>Monthly SG&amp;A detail. Please include SG&amp;A expenses by each major category in the P&amp;L including marketing, salaries, bonuses, utilities, rent, etc.</t>
  </si>
  <si>
    <t>Detailed trial balance as of December 31st</t>
  </si>
  <si>
    <t>- Not received</t>
  </si>
  <si>
    <t>Equipment lease schedules for all company assets</t>
  </si>
  <si>
    <t>- No equipment is currently leased, but the company is considering two (2) operating leases for manufacting.</t>
  </si>
  <si>
    <t>Backlog and pipeline sales forecasts, split into retail, wholesale, and ecommerce.</t>
  </si>
  <si>
    <t>- Received most recent sales forecast</t>
  </si>
  <si>
    <t>Information on taxes paid, including federal and state, payroll, sales and property taxes</t>
  </si>
  <si>
    <t>- Need payroll tax information for the payroll forecast</t>
  </si>
  <si>
    <t>Most recent detailed PP&amp;E listing including age, asset, utilization, condition, remaining live, depreciation assumptions, etc.</t>
  </si>
  <si>
    <t>9/8</t>
  </si>
  <si>
    <t>- Received asset listing but it does not include all of the requested details</t>
  </si>
  <si>
    <t>- We did not receive inventory detail and this isn't available from the system. We will need to make direct cost assumptions for raw materials and build out a separate inventory forecast.</t>
  </si>
  <si>
    <t xml:space="preserve">Historical and forecasted capital expenditures including a breakout between any new capex, maintenance capex, etc. </t>
  </si>
  <si>
    <t>- Complete</t>
  </si>
  <si>
    <t>Sales summaries including historical sales by product line and customer</t>
  </si>
  <si>
    <t>Listing of the top 10 customers and vendors in terms of annual revenues and spend, along with copies of any contracts/agreements</t>
  </si>
  <si>
    <t>List of key competitors (name, locations, annual revenue, etc.)</t>
  </si>
  <si>
    <t>Brief description/overview of the marketing/sales initiatives</t>
  </si>
  <si>
    <t>General Business Operations</t>
  </si>
  <si>
    <t>Management meetings minutes and notes</t>
  </si>
  <si>
    <t>Descriptions of cost cutting, restructuring, and strategic growth initiatives contemplated for the next 12 months</t>
  </si>
  <si>
    <t>List of vendors including TTM spend (note which are key vendors critical for supporting uninterrupted operations)</t>
  </si>
  <si>
    <t>Cash flow diagram, if available, explaining cash management and cash control systems and responsibilities. Please include a listing of all bank accounts (bank name, account number, account type, and recent balances).</t>
  </si>
  <si>
    <t>Major daily, weekly, monthly metric reports used by executive management, facility management, inventory control management to monitor and evaluate the performance on a real-time basis</t>
  </si>
  <si>
    <t xml:space="preserve">- Provides listing of assets but excludes info related to detailed depreciation by item </t>
  </si>
  <si>
    <t>Current legal entity and management organization charts.</t>
  </si>
  <si>
    <t>Payroll register and overview of bonus structure; include staffing levels by function and department (ID, name, salary, perks, bonuses, hire date, etc.)</t>
  </si>
  <si>
    <t>- Received all salary/bonus information as well as hiring plans</t>
  </si>
  <si>
    <t>Document / Task</t>
  </si>
  <si>
    <t>Status (Complete, Incomplete, Open)</t>
  </si>
  <si>
    <t>- Provided top customers and what appears to be revenue. No further detail provided for units sold.</t>
  </si>
  <si>
    <t>- Not necessary, but helpful</t>
  </si>
  <si>
    <t>Key missing document</t>
  </si>
  <si>
    <t>- Provided top 10 vendors and are missing terms
- Key missing document</t>
  </si>
  <si>
    <t>- Key missing document</t>
  </si>
  <si>
    <t>-Have top 5 with no designation on critical vendors
- Key missing document</t>
  </si>
  <si>
    <t>- Key missing document
- We can confirm the consolidated KPI dashboard has already been received</t>
  </si>
  <si>
    <t>- Key missing document
- Should also request inventory appraisals</t>
  </si>
  <si>
    <t>Real estate appraisals and lease documents</t>
  </si>
  <si>
    <t>Life insurance policy for Leslie Barrington</t>
  </si>
  <si>
    <t>- Received bonus amounts but limited details as to how bonuses are calculated</t>
  </si>
  <si>
    <t>- Leslie confirms there are no pending lawsuits (conversation on 9/22)</t>
  </si>
  <si>
    <t>- Barrington is not under union obligations (conversation with Leslie on 9/22)</t>
  </si>
  <si>
    <t>- There are no current licensing agreements (conversation with Leslie on 9/22)</t>
  </si>
  <si>
    <t>- Need to reach out to T. Stark to obtain this detail</t>
  </si>
  <si>
    <t>Date Requested</t>
  </si>
  <si>
    <t>Person Responsible</t>
  </si>
  <si>
    <t>9/1</t>
  </si>
  <si>
    <t>Aaron Reynolds</t>
  </si>
  <si>
    <t>Jennifer Chen</t>
  </si>
  <si>
    <t>Leslie Barrington</t>
  </si>
  <si>
    <t>Olivia Winslow</t>
  </si>
  <si>
    <t>Gwen Gallagher</t>
  </si>
  <si>
    <t>Amelia Townsend</t>
  </si>
  <si>
    <t>Alexander Thornton</t>
  </si>
  <si>
    <t xml:space="preserve">Information Request Log </t>
  </si>
  <si>
    <t>Pinnacle Supplier DBA Candy Confection</t>
  </si>
  <si>
    <t>Pinnacle Supplier DBA Candy Confection \ 1. Finance and Accounting</t>
  </si>
  <si>
    <t>Pinnacle Supplier DBA Candy Confection \ 2. Sales and Marketing</t>
  </si>
  <si>
    <t>Pinnacle Supplier DBA Candy Confection \ 3. General Ops and Misc.</t>
  </si>
  <si>
    <t>India Tyler / Alexander Thornton</t>
  </si>
  <si>
    <t>India Tyler</t>
  </si>
  <si>
    <t>India Tyler / Peter Gibons</t>
  </si>
  <si>
    <t>Alexander Thornton / Peter Gibons</t>
  </si>
  <si>
    <t>Aaron Reynolds / Peter Gibons</t>
  </si>
  <si>
    <t>Allen Fitzgerald</t>
  </si>
  <si>
    <t>Kennedy Howard / Allen Fitzgerald</t>
  </si>
  <si>
    <t>Kennedy Howard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</si>
</sst>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8"/>
      <color theme="1"/>
      <name val="Arial"/>
      <family val="2"/>
    </font>
    <font>
      <sz val="10"/>
      <name val="Roboto"/>
    </font>
    <font>
      <b/>
      <sz val="10"/>
      <color indexed="8"/>
      <name val="Roboto"/>
    </font>
    <font>
      <sz val="10"/>
      <color indexed="8"/>
      <name val="Roboto"/>
    </font>
    <font>
      <b/>
      <sz val="10"/>
      <name val="Roboto"/>
    </font>
    <font>
      <i/>
      <sz val="10"/>
      <color indexed="8"/>
      <name val="Roboto"/>
    </font>
    <font>
      <b/>
      <u/>
      <sz val="10"/>
      <color indexed="8"/>
      <name val="Roboto"/>
    </font>
    <font>
      <b/>
      <u/>
      <sz val="10"/>
      <name val="Roboto"/>
    </font>
    <font>
      <sz val="10"/>
      <color theme="1"/>
      <name val="Roboto"/>
    </font>
    <font>
      <b/>
      <u/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23">
    <xf numFmtId="0" fontId="0" fillId="0" borderId="0" xfId="0"/>
    <xf numFmtId="0" fontId="4" fillId="0" borderId="0" xfId="1" applyFont="1" applyAlignment="1">
      <alignment vertical="top"/>
    </xf>
    <xf numFmtId="0" fontId="5" fillId="0" borderId="0" xfId="2" applyFont="1" applyAlignment="1">
      <alignment vertical="top"/>
    </xf>
    <xf numFmtId="0" fontId="6" fillId="0" borderId="0" xfId="2" applyFont="1" applyAlignment="1">
      <alignment vertical="top"/>
    </xf>
    <xf numFmtId="0" fontId="6" fillId="0" borderId="0" xfId="2" applyFont="1" applyAlignment="1">
      <alignment horizontal="left" vertical="top" wrapText="1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vertical="top" wrapText="1"/>
    </xf>
    <xf numFmtId="164" fontId="7" fillId="0" borderId="0" xfId="1" applyNumberFormat="1" applyFont="1" applyAlignment="1">
      <alignment horizontal="left" vertical="top"/>
    </xf>
    <xf numFmtId="0" fontId="8" fillId="0" borderId="0" xfId="2" applyFont="1" applyAlignment="1">
      <alignment vertical="top"/>
    </xf>
    <xf numFmtId="0" fontId="7" fillId="0" borderId="0" xfId="1" applyFont="1" applyAlignment="1">
      <alignment vertical="top"/>
    </xf>
    <xf numFmtId="0" fontId="10" fillId="0" borderId="0" xfId="1" applyFont="1" applyAlignment="1">
      <alignment vertical="top"/>
    </xf>
    <xf numFmtId="0" fontId="9" fillId="0" borderId="0" xfId="2" applyFont="1" applyAlignment="1">
      <alignment horizontal="left" vertical="top"/>
    </xf>
    <xf numFmtId="14" fontId="4" fillId="0" borderId="0" xfId="1" applyNumberFormat="1" applyFont="1" applyAlignment="1">
      <alignment horizontal="left" vertical="top"/>
    </xf>
    <xf numFmtId="0" fontId="4" fillId="0" borderId="0" xfId="1" quotePrefix="1" applyFont="1" applyAlignment="1">
      <alignment vertical="top" wrapText="1"/>
    </xf>
    <xf numFmtId="0" fontId="4" fillId="0" borderId="0" xfId="1" applyFont="1" applyAlignment="1">
      <alignment horizontal="center" vertical="top" wrapText="1"/>
    </xf>
    <xf numFmtId="14" fontId="4" fillId="0" borderId="0" xfId="1" quotePrefix="1" applyNumberFormat="1" applyFont="1" applyAlignment="1">
      <alignment horizontal="left" vertical="top"/>
    </xf>
    <xf numFmtId="0" fontId="4" fillId="0" borderId="0" xfId="2" applyFont="1" applyAlignment="1">
      <alignment horizontal="left" vertical="top" wrapText="1"/>
    </xf>
    <xf numFmtId="0" fontId="4" fillId="0" borderId="0" xfId="1" quotePrefix="1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11" fillId="0" borderId="0" xfId="3" applyFont="1" applyAlignment="1">
      <alignment vertical="top"/>
    </xf>
    <xf numFmtId="0" fontId="12" fillId="2" borderId="0" xfId="2" applyFont="1" applyFill="1" applyAlignment="1">
      <alignment horizontal="center" vertical="top"/>
    </xf>
    <xf numFmtId="0" fontId="12" fillId="2" borderId="0" xfId="2" applyFont="1" applyFill="1" applyAlignment="1">
      <alignment horizontal="left" vertical="top" wrapText="1"/>
    </xf>
    <xf numFmtId="0" fontId="12" fillId="2" borderId="0" xfId="2" applyFont="1" applyFill="1" applyAlignment="1">
      <alignment horizontal="left" vertical="top"/>
    </xf>
  </cellXfs>
  <cellStyles count="4">
    <cellStyle name="Normal" xfId="0" builtinId="0"/>
    <cellStyle name="Normal 2" xfId="1" xr:uid="{BEC44DB4-0072-486A-A57B-46953A7933B2}"/>
    <cellStyle name="Normal 2 2" xfId="3" xr:uid="{8665889B-556E-4003-8FEE-2994E7030451}"/>
    <cellStyle name="Normal_Sheet1" xfId="2" xr:uid="{3EE21AD4-8F56-4DC4-B949-7F79C3598B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l\Desktop\RTM%20Model%202013-09-04_P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ls\Dropbox\Training%20files%20WSP%20SFO\14B%20Integrated%20Forecast%20Case%20Stud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RT\AppData\Local\Microsoft\Windows\INetCache\Content.Outlook\XV4JTYDA\SVT_Initial%20Data%20Request_0131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Summary"/>
      <sheetName val="Cap Table"/>
      <sheetName val="Revenue Build"/>
      <sheetName val="Cost Build"/>
      <sheetName val="Other Assumptions"/>
      <sheetName val="Acquisitions"/>
      <sheetName val="Income Statement"/>
      <sheetName val="Balance Sheet"/>
      <sheetName val="Cash Flow"/>
      <sheetName val="Debt"/>
      <sheetName val="Depr"/>
      <sheetName val="Tax"/>
      <sheetName val="RTM DCF"/>
      <sheetName val="RTM Valuation Summary"/>
      <sheetName val="Comps"/>
      <sheetName val="Precedents"/>
      <sheetName val="Amort"/>
      <sheetName val="PF Ownership"/>
      <sheetName val=" "/>
      <sheetName val="Target Valuation Summary"/>
      <sheetName val="Print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Cover Page"/>
      <sheetName val="2_Dashboard"/>
      <sheetName val="ASSUMPTIONS"/>
      <sheetName val="4_Revenue Build (CY)"/>
      <sheetName val="5_Cost Build (CY)"/>
      <sheetName val="6_Other Assumptions (CY)"/>
      <sheetName val="FINANCIALS"/>
      <sheetName val="SUPPORTING SCHEDULES"/>
      <sheetName val="10_Debt"/>
      <sheetName val="PrintMacro"/>
      <sheetName val="11_Capex"/>
    </sheetNames>
    <sheetDataSet>
      <sheetData sheetId="0">
        <row r="3">
          <cell r="D3" t="str">
            <v>Diagnosa Co.</v>
          </cell>
        </row>
        <row r="4">
          <cell r="D4" t="str">
            <v>(Dollars)</v>
          </cell>
        </row>
        <row r="5">
          <cell r="D5" t="str">
            <v>December</v>
          </cell>
        </row>
        <row r="6">
          <cell r="D6" t="str">
            <v>Projected Fiscal Year Ending December 31,</v>
          </cell>
        </row>
        <row r="7">
          <cell r="D7">
            <v>31</v>
          </cell>
        </row>
      </sheetData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>
        <row r="8">
          <cell r="F8">
            <v>237791.03829783777</v>
          </cell>
        </row>
      </sheetData>
      <sheetData sheetId="9" refreshError="1"/>
      <sheetData sheetId="10">
        <row r="7">
          <cell r="C7" t="str">
            <v>Jul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Requests"/>
      <sheetName val="Sheet2"/>
    </sheetNames>
    <sheetDataSet>
      <sheetData sheetId="0" refreshError="1"/>
      <sheetData sheetId="1" refreshError="1">
        <row r="3">
          <cell r="B3" t="str">
            <v>Complete</v>
          </cell>
        </row>
        <row r="4">
          <cell r="B4" t="str">
            <v>In process</v>
          </cell>
        </row>
        <row r="5">
          <cell r="B5" t="str">
            <v>Not received</v>
          </cell>
        </row>
        <row r="6">
          <cell r="B6" t="str">
            <v>Not available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A6C4-8605-4D5E-A09C-83C725A33B5C}">
  <dimension ref="A1:J49"/>
  <sheetViews>
    <sheetView tabSelected="1" zoomScaleNormal="100" zoomScaleSheetLayoutView="80" workbookViewId="0">
      <pane ySplit="6" topLeftCell="A7" activePane="bottomLeft" state="frozen"/>
      <selection activeCell="B1" sqref="B1"/>
      <selection pane="bottomLeft" activeCell="B1" sqref="B1"/>
    </sheetView>
  </sheetViews>
  <sheetFormatPr defaultColWidth="8.7109375" defaultRowHeight="12.75" x14ac:dyDescent="0.25"/>
  <cols>
    <col min="1" max="1" width="5.28515625" style="1" customWidth="1"/>
    <col min="2" max="2" width="9" style="1" customWidth="1"/>
    <col min="3" max="3" width="49" style="1" customWidth="1"/>
    <col min="4" max="4" width="17.42578125" style="1" bestFit="1" customWidth="1"/>
    <col min="5" max="6" width="13" style="1" customWidth="1"/>
    <col min="7" max="7" width="31.85546875" style="5" bestFit="1" customWidth="1"/>
    <col min="8" max="8" width="23.42578125" style="6" customWidth="1"/>
    <col min="9" max="9" width="24.85546875" style="6" customWidth="1"/>
    <col min="10" max="10" width="13" style="1" customWidth="1"/>
    <col min="11" max="16384" width="8.7109375" style="1"/>
  </cols>
  <sheetData>
    <row r="1" spans="1:10" x14ac:dyDescent="0.25">
      <c r="B1" s="2" t="s">
        <v>94</v>
      </c>
      <c r="C1" s="3"/>
      <c r="D1" s="3"/>
      <c r="E1" s="3"/>
      <c r="F1" s="4"/>
    </row>
    <row r="2" spans="1:10" x14ac:dyDescent="0.25">
      <c r="B2" s="2" t="s">
        <v>93</v>
      </c>
      <c r="C2" s="3"/>
      <c r="D2" s="3"/>
      <c r="E2" s="3"/>
      <c r="F2" s="4"/>
    </row>
    <row r="3" spans="1:10" x14ac:dyDescent="0.25">
      <c r="B3" s="7"/>
      <c r="C3" s="7"/>
      <c r="D3" s="7"/>
      <c r="E3" s="7"/>
    </row>
    <row r="4" spans="1:10" x14ac:dyDescent="0.25">
      <c r="B4" s="8" t="s">
        <v>19</v>
      </c>
      <c r="C4" s="3"/>
      <c r="D4" s="3"/>
      <c r="E4" s="3"/>
      <c r="F4" s="4"/>
    </row>
    <row r="5" spans="1:10" x14ac:dyDescent="0.25">
      <c r="B5" s="7"/>
      <c r="C5" s="7"/>
      <c r="D5" s="7"/>
      <c r="E5" s="7"/>
    </row>
    <row r="6" spans="1:10" x14ac:dyDescent="0.25">
      <c r="A6" s="20"/>
      <c r="B6" s="20" t="s">
        <v>0</v>
      </c>
      <c r="C6" s="21" t="s">
        <v>66</v>
      </c>
      <c r="D6" s="22" t="s">
        <v>84</v>
      </c>
      <c r="E6" s="20" t="s">
        <v>83</v>
      </c>
      <c r="F6" s="20" t="s">
        <v>1</v>
      </c>
      <c r="G6" s="22" t="s">
        <v>67</v>
      </c>
      <c r="H6" s="21" t="s">
        <v>2</v>
      </c>
      <c r="I6" s="21" t="s">
        <v>3</v>
      </c>
    </row>
    <row r="7" spans="1:10" x14ac:dyDescent="0.25">
      <c r="A7" s="9">
        <v>1</v>
      </c>
      <c r="B7" s="10" t="s">
        <v>4</v>
      </c>
      <c r="F7" s="11"/>
      <c r="G7" s="11"/>
    </row>
    <row r="8" spans="1:10" ht="89.25" x14ac:dyDescent="0.25">
      <c r="B8" s="1">
        <v>1</v>
      </c>
      <c r="C8" s="6" t="s">
        <v>28</v>
      </c>
      <c r="D8" s="16" t="s">
        <v>100</v>
      </c>
      <c r="E8" s="15" t="s">
        <v>85</v>
      </c>
      <c r="F8" s="5" t="s">
        <v>24</v>
      </c>
      <c r="G8" s="12" t="s">
        <v>5</v>
      </c>
      <c r="H8" s="13" t="s">
        <v>29</v>
      </c>
      <c r="I8" s="6" t="s">
        <v>95</v>
      </c>
      <c r="J8" s="14"/>
    </row>
    <row r="9" spans="1:10" ht="25.5" x14ac:dyDescent="0.25">
      <c r="B9" s="1">
        <v>2</v>
      </c>
      <c r="C9" s="1" t="s">
        <v>20</v>
      </c>
      <c r="D9" s="16" t="s">
        <v>100</v>
      </c>
      <c r="E9" s="15" t="s">
        <v>85</v>
      </c>
      <c r="F9" s="15" t="s">
        <v>21</v>
      </c>
      <c r="G9" s="5" t="s">
        <v>6</v>
      </c>
      <c r="H9" s="13" t="s">
        <v>26</v>
      </c>
      <c r="I9" s="6" t="s">
        <v>95</v>
      </c>
    </row>
    <row r="10" spans="1:10" ht="89.25" x14ac:dyDescent="0.25">
      <c r="B10" s="1">
        <f t="shared" ref="B10:B22" si="0">B9+1</f>
        <v>3</v>
      </c>
      <c r="C10" s="1" t="s">
        <v>22</v>
      </c>
      <c r="D10" s="16" t="s">
        <v>101</v>
      </c>
      <c r="E10" s="15" t="s">
        <v>85</v>
      </c>
      <c r="F10" s="15" t="s">
        <v>21</v>
      </c>
      <c r="G10" s="5" t="s">
        <v>27</v>
      </c>
      <c r="H10" s="13" t="s">
        <v>30</v>
      </c>
      <c r="I10" s="6" t="s">
        <v>95</v>
      </c>
    </row>
    <row r="11" spans="1:10" ht="38.25" x14ac:dyDescent="0.25">
      <c r="B11" s="1">
        <f t="shared" si="0"/>
        <v>4</v>
      </c>
      <c r="C11" s="4" t="s">
        <v>23</v>
      </c>
      <c r="D11" s="16" t="s">
        <v>101</v>
      </c>
      <c r="E11" s="15" t="s">
        <v>85</v>
      </c>
      <c r="F11" s="5" t="s">
        <v>24</v>
      </c>
      <c r="G11" s="5" t="s">
        <v>7</v>
      </c>
      <c r="H11" s="6" t="s">
        <v>70</v>
      </c>
      <c r="I11" s="6" t="s">
        <v>95</v>
      </c>
    </row>
    <row r="12" spans="1:10" ht="51" x14ac:dyDescent="0.25">
      <c r="B12" s="1">
        <f t="shared" si="0"/>
        <v>5</v>
      </c>
      <c r="C12" s="1" t="s">
        <v>31</v>
      </c>
      <c r="D12" s="16" t="s">
        <v>98</v>
      </c>
      <c r="E12" s="15" t="s">
        <v>85</v>
      </c>
      <c r="F12" s="15" t="s">
        <v>21</v>
      </c>
      <c r="G12" s="5" t="s">
        <v>6</v>
      </c>
      <c r="H12" s="13" t="s">
        <v>32</v>
      </c>
      <c r="I12" s="6" t="s">
        <v>95</v>
      </c>
    </row>
    <row r="13" spans="1:10" ht="102" x14ac:dyDescent="0.25">
      <c r="B13" s="1">
        <f t="shared" si="0"/>
        <v>6</v>
      </c>
      <c r="C13" s="16" t="s">
        <v>33</v>
      </c>
      <c r="D13" s="16" t="s">
        <v>99</v>
      </c>
      <c r="E13" s="15" t="s">
        <v>85</v>
      </c>
      <c r="F13" s="15" t="s">
        <v>21</v>
      </c>
      <c r="G13" s="5" t="s">
        <v>5</v>
      </c>
      <c r="H13" s="13" t="s">
        <v>34</v>
      </c>
      <c r="I13" s="6" t="s">
        <v>95</v>
      </c>
    </row>
    <row r="14" spans="1:10" ht="51" x14ac:dyDescent="0.25">
      <c r="B14" s="1">
        <f t="shared" si="0"/>
        <v>7</v>
      </c>
      <c r="C14" s="16" t="s">
        <v>35</v>
      </c>
      <c r="D14" s="16" t="s">
        <v>99</v>
      </c>
      <c r="E14" s="15" t="s">
        <v>85</v>
      </c>
      <c r="F14" s="15" t="s">
        <v>21</v>
      </c>
      <c r="G14" s="5" t="s">
        <v>6</v>
      </c>
      <c r="H14" s="13" t="s">
        <v>36</v>
      </c>
      <c r="I14" s="6" t="s">
        <v>95</v>
      </c>
    </row>
    <row r="15" spans="1:10" ht="38.25" x14ac:dyDescent="0.25">
      <c r="B15" s="1">
        <f t="shared" si="0"/>
        <v>8</v>
      </c>
      <c r="C15" s="6" t="s">
        <v>37</v>
      </c>
      <c r="D15" s="6" t="s">
        <v>100</v>
      </c>
      <c r="E15" s="15" t="s">
        <v>85</v>
      </c>
      <c r="F15" s="15" t="s">
        <v>21</v>
      </c>
      <c r="G15" s="5" t="s">
        <v>6</v>
      </c>
      <c r="I15" s="6" t="s">
        <v>95</v>
      </c>
    </row>
    <row r="16" spans="1:10" ht="25.5" x14ac:dyDescent="0.25">
      <c r="B16" s="1">
        <f t="shared" si="0"/>
        <v>9</v>
      </c>
      <c r="C16" s="16" t="s">
        <v>38</v>
      </c>
      <c r="D16" s="16" t="s">
        <v>99</v>
      </c>
      <c r="E16" s="15" t="s">
        <v>85</v>
      </c>
      <c r="F16" s="15" t="s">
        <v>21</v>
      </c>
      <c r="G16" s="5" t="s">
        <v>7</v>
      </c>
      <c r="H16" s="13" t="s">
        <v>39</v>
      </c>
      <c r="I16" s="6" t="s">
        <v>95</v>
      </c>
    </row>
    <row r="17" spans="1:9" ht="63.75" x14ac:dyDescent="0.25">
      <c r="B17" s="1">
        <f t="shared" si="0"/>
        <v>10</v>
      </c>
      <c r="C17" s="16" t="s">
        <v>40</v>
      </c>
      <c r="D17" s="16" t="s">
        <v>92</v>
      </c>
      <c r="E17" s="15" t="s">
        <v>85</v>
      </c>
      <c r="F17" s="15" t="s">
        <v>21</v>
      </c>
      <c r="G17" s="5" t="s">
        <v>5</v>
      </c>
      <c r="H17" s="13" t="s">
        <v>41</v>
      </c>
      <c r="I17" s="6" t="s">
        <v>95</v>
      </c>
    </row>
    <row r="18" spans="1:9" ht="25.5" x14ac:dyDescent="0.25">
      <c r="B18" s="1">
        <f t="shared" si="0"/>
        <v>11</v>
      </c>
      <c r="C18" s="16" t="s">
        <v>42</v>
      </c>
      <c r="D18" s="16" t="s">
        <v>104</v>
      </c>
      <c r="E18" s="15" t="s">
        <v>85</v>
      </c>
      <c r="F18" s="15" t="s">
        <v>21</v>
      </c>
      <c r="G18" s="5" t="s">
        <v>6</v>
      </c>
      <c r="H18" s="13" t="s">
        <v>43</v>
      </c>
      <c r="I18" s="6" t="s">
        <v>95</v>
      </c>
    </row>
    <row r="19" spans="1:9" ht="38.25" x14ac:dyDescent="0.25">
      <c r="B19" s="1">
        <f t="shared" si="0"/>
        <v>12</v>
      </c>
      <c r="C19" s="16" t="s">
        <v>44</v>
      </c>
      <c r="D19" s="16" t="s">
        <v>92</v>
      </c>
      <c r="E19" s="15" t="s">
        <v>85</v>
      </c>
      <c r="F19" s="5" t="s">
        <v>24</v>
      </c>
      <c r="G19" s="5" t="s">
        <v>7</v>
      </c>
      <c r="H19" s="17" t="s">
        <v>45</v>
      </c>
      <c r="I19" s="6" t="s">
        <v>95</v>
      </c>
    </row>
    <row r="20" spans="1:9" ht="38.25" x14ac:dyDescent="0.25">
      <c r="B20" s="1">
        <f t="shared" si="0"/>
        <v>13</v>
      </c>
      <c r="C20" s="16" t="s">
        <v>46</v>
      </c>
      <c r="D20" s="16" t="s">
        <v>86</v>
      </c>
      <c r="E20" s="15" t="s">
        <v>85</v>
      </c>
      <c r="F20" s="15" t="s">
        <v>47</v>
      </c>
      <c r="G20" s="5" t="s">
        <v>5</v>
      </c>
      <c r="H20" s="13" t="s">
        <v>48</v>
      </c>
      <c r="I20" s="6" t="s">
        <v>95</v>
      </c>
    </row>
    <row r="21" spans="1:9" ht="114.75" x14ac:dyDescent="0.25">
      <c r="B21" s="1">
        <f t="shared" si="0"/>
        <v>14</v>
      </c>
      <c r="C21" s="16" t="s">
        <v>8</v>
      </c>
      <c r="D21" s="16" t="s">
        <v>86</v>
      </c>
      <c r="E21" s="15" t="s">
        <v>85</v>
      </c>
      <c r="F21" s="15" t="s">
        <v>47</v>
      </c>
      <c r="G21" s="5" t="s">
        <v>5</v>
      </c>
      <c r="H21" s="13" t="s">
        <v>49</v>
      </c>
      <c r="I21" s="6" t="s">
        <v>95</v>
      </c>
    </row>
    <row r="22" spans="1:9" ht="38.25" x14ac:dyDescent="0.25">
      <c r="B22" s="1">
        <f t="shared" si="0"/>
        <v>15</v>
      </c>
      <c r="C22" s="16" t="s">
        <v>50</v>
      </c>
      <c r="D22" s="16" t="s">
        <v>102</v>
      </c>
      <c r="E22" s="15" t="s">
        <v>85</v>
      </c>
      <c r="F22" s="15" t="s">
        <v>21</v>
      </c>
      <c r="G22" s="5" t="s">
        <v>6</v>
      </c>
      <c r="H22" s="13" t="s">
        <v>51</v>
      </c>
      <c r="I22" s="6" t="s">
        <v>95</v>
      </c>
    </row>
    <row r="23" spans="1:9" x14ac:dyDescent="0.25">
      <c r="A23" s="20"/>
      <c r="B23" s="20" t="s">
        <v>0</v>
      </c>
      <c r="C23" s="21" t="s">
        <v>66</v>
      </c>
      <c r="D23" s="21"/>
      <c r="E23" s="21"/>
      <c r="F23" s="20" t="s">
        <v>1</v>
      </c>
      <c r="G23" s="22" t="s">
        <v>67</v>
      </c>
      <c r="H23" s="21" t="s">
        <v>2</v>
      </c>
      <c r="I23" s="21" t="s">
        <v>3</v>
      </c>
    </row>
    <row r="24" spans="1:9" x14ac:dyDescent="0.25">
      <c r="A24" s="9">
        <v>2</v>
      </c>
      <c r="B24" s="10" t="s">
        <v>9</v>
      </c>
      <c r="F24" s="5"/>
    </row>
    <row r="25" spans="1:9" ht="51" x14ac:dyDescent="0.25">
      <c r="B25" s="1">
        <v>1</v>
      </c>
      <c r="C25" s="16" t="s">
        <v>52</v>
      </c>
      <c r="D25" s="16" t="s">
        <v>103</v>
      </c>
      <c r="E25" s="15" t="s">
        <v>85</v>
      </c>
      <c r="F25" s="15" t="s">
        <v>25</v>
      </c>
      <c r="G25" s="5" t="s">
        <v>5</v>
      </c>
      <c r="H25" s="13" t="s">
        <v>68</v>
      </c>
      <c r="I25" s="6" t="s">
        <v>96</v>
      </c>
    </row>
    <row r="26" spans="1:9" ht="38.25" x14ac:dyDescent="0.25">
      <c r="B26" s="1">
        <f>B25+1</f>
        <v>2</v>
      </c>
      <c r="C26" s="16" t="s">
        <v>53</v>
      </c>
      <c r="D26" s="4" t="s">
        <v>91</v>
      </c>
      <c r="E26" s="15" t="s">
        <v>85</v>
      </c>
      <c r="F26" s="15" t="s">
        <v>25</v>
      </c>
      <c r="G26" s="5" t="s">
        <v>5</v>
      </c>
      <c r="H26" s="13" t="s">
        <v>71</v>
      </c>
      <c r="I26" s="6" t="s">
        <v>96</v>
      </c>
    </row>
    <row r="27" spans="1:9" ht="25.5" x14ac:dyDescent="0.25">
      <c r="B27" s="1">
        <f>B26+1</f>
        <v>3</v>
      </c>
      <c r="C27" s="16" t="s">
        <v>54</v>
      </c>
      <c r="D27" s="16" t="s">
        <v>105</v>
      </c>
      <c r="E27" s="15" t="s">
        <v>85</v>
      </c>
      <c r="F27" s="5" t="s">
        <v>24</v>
      </c>
      <c r="G27" s="5" t="s">
        <v>7</v>
      </c>
      <c r="H27" s="13" t="s">
        <v>72</v>
      </c>
      <c r="I27" s="6" t="s">
        <v>96</v>
      </c>
    </row>
    <row r="28" spans="1:9" ht="25.5" x14ac:dyDescent="0.25">
      <c r="B28" s="1">
        <f>B27+1</f>
        <v>4</v>
      </c>
      <c r="C28" s="16" t="s">
        <v>55</v>
      </c>
      <c r="D28" s="16" t="s">
        <v>105</v>
      </c>
      <c r="E28" s="15" t="s">
        <v>85</v>
      </c>
      <c r="F28" s="5" t="s">
        <v>24</v>
      </c>
      <c r="G28" s="5" t="s">
        <v>7</v>
      </c>
      <c r="H28" s="13" t="s">
        <v>72</v>
      </c>
      <c r="I28" s="6" t="s">
        <v>96</v>
      </c>
    </row>
    <row r="29" spans="1:9" x14ac:dyDescent="0.25">
      <c r="A29" s="20"/>
      <c r="B29" s="20" t="s">
        <v>0</v>
      </c>
      <c r="C29" s="21" t="s">
        <v>66</v>
      </c>
      <c r="D29" s="21"/>
      <c r="E29" s="21"/>
      <c r="F29" s="20" t="s">
        <v>1</v>
      </c>
      <c r="G29" s="22" t="s">
        <v>67</v>
      </c>
      <c r="H29" s="21" t="s">
        <v>2</v>
      </c>
      <c r="I29" s="21" t="s">
        <v>3</v>
      </c>
    </row>
    <row r="30" spans="1:9" x14ac:dyDescent="0.25">
      <c r="A30" s="9">
        <v>3</v>
      </c>
      <c r="B30" s="10" t="s">
        <v>56</v>
      </c>
      <c r="F30" s="5"/>
    </row>
    <row r="31" spans="1:9" ht="25.5" x14ac:dyDescent="0.25">
      <c r="A31" s="9"/>
      <c r="B31" s="1">
        <f>1</f>
        <v>1</v>
      </c>
      <c r="C31" s="6" t="s">
        <v>57</v>
      </c>
      <c r="D31" s="6" t="s">
        <v>90</v>
      </c>
      <c r="E31" s="15" t="s">
        <v>85</v>
      </c>
      <c r="F31" s="5" t="s">
        <v>24</v>
      </c>
      <c r="G31" s="5" t="s">
        <v>7</v>
      </c>
      <c r="H31" s="13" t="s">
        <v>69</v>
      </c>
      <c r="I31" s="6" t="s">
        <v>97</v>
      </c>
    </row>
    <row r="32" spans="1:9" ht="25.5" x14ac:dyDescent="0.25">
      <c r="B32" s="1">
        <f t="shared" ref="B32:B47" si="1">B31+1</f>
        <v>2</v>
      </c>
      <c r="C32" s="16" t="s">
        <v>58</v>
      </c>
      <c r="D32" s="16" t="s">
        <v>88</v>
      </c>
      <c r="E32" s="15" t="s">
        <v>85</v>
      </c>
      <c r="F32" s="5" t="s">
        <v>24</v>
      </c>
      <c r="G32" s="5" t="s">
        <v>7</v>
      </c>
      <c r="H32" s="13" t="s">
        <v>72</v>
      </c>
      <c r="I32" s="6" t="s">
        <v>97</v>
      </c>
    </row>
    <row r="33" spans="2:9" ht="51" x14ac:dyDescent="0.25">
      <c r="B33" s="1">
        <f t="shared" si="1"/>
        <v>3</v>
      </c>
      <c r="C33" s="4" t="s">
        <v>59</v>
      </c>
      <c r="D33" s="4" t="s">
        <v>91</v>
      </c>
      <c r="E33" s="15" t="s">
        <v>85</v>
      </c>
      <c r="F33" s="12">
        <v>43948</v>
      </c>
      <c r="G33" s="5" t="s">
        <v>5</v>
      </c>
      <c r="H33" s="13" t="s">
        <v>73</v>
      </c>
      <c r="I33" s="6" t="s">
        <v>97</v>
      </c>
    </row>
    <row r="34" spans="2:9" ht="63.75" x14ac:dyDescent="0.25">
      <c r="B34" s="1">
        <f t="shared" si="1"/>
        <v>4</v>
      </c>
      <c r="C34" s="16" t="s">
        <v>60</v>
      </c>
      <c r="D34" s="16" t="s">
        <v>99</v>
      </c>
      <c r="E34" s="15" t="s">
        <v>85</v>
      </c>
      <c r="F34" s="5" t="s">
        <v>24</v>
      </c>
      <c r="G34" s="5" t="s">
        <v>7</v>
      </c>
      <c r="H34" s="13" t="s">
        <v>72</v>
      </c>
      <c r="I34" s="6" t="s">
        <v>97</v>
      </c>
    </row>
    <row r="35" spans="2:9" ht="63.75" x14ac:dyDescent="0.25">
      <c r="B35" s="1">
        <f t="shared" si="1"/>
        <v>5</v>
      </c>
      <c r="C35" s="16" t="s">
        <v>61</v>
      </c>
      <c r="D35" s="16" t="s">
        <v>99</v>
      </c>
      <c r="E35" s="15" t="s">
        <v>85</v>
      </c>
      <c r="F35" s="5" t="s">
        <v>24</v>
      </c>
      <c r="G35" s="5" t="s">
        <v>7</v>
      </c>
      <c r="H35" s="13" t="s">
        <v>74</v>
      </c>
      <c r="I35" s="6" t="s">
        <v>97</v>
      </c>
    </row>
    <row r="36" spans="2:9" ht="25.5" x14ac:dyDescent="0.25">
      <c r="B36" s="1">
        <f t="shared" si="1"/>
        <v>6</v>
      </c>
      <c r="C36" s="4" t="s">
        <v>63</v>
      </c>
      <c r="D36" s="4" t="s">
        <v>89</v>
      </c>
      <c r="E36" s="15" t="s">
        <v>85</v>
      </c>
      <c r="F36" s="15" t="s">
        <v>25</v>
      </c>
      <c r="G36" s="5" t="s">
        <v>5</v>
      </c>
      <c r="H36" s="13" t="s">
        <v>72</v>
      </c>
      <c r="I36" s="6" t="s">
        <v>97</v>
      </c>
    </row>
    <row r="37" spans="2:9" ht="38.25" x14ac:dyDescent="0.25">
      <c r="B37" s="1">
        <f t="shared" si="1"/>
        <v>7</v>
      </c>
      <c r="C37" s="4" t="s">
        <v>64</v>
      </c>
      <c r="D37" s="4" t="s">
        <v>89</v>
      </c>
      <c r="E37" s="15" t="s">
        <v>85</v>
      </c>
      <c r="F37" s="5" t="s">
        <v>24</v>
      </c>
      <c r="G37" s="5" t="s">
        <v>10</v>
      </c>
      <c r="H37" s="13" t="s">
        <v>65</v>
      </c>
      <c r="I37" s="6" t="s">
        <v>97</v>
      </c>
    </row>
    <row r="38" spans="2:9" ht="51" x14ac:dyDescent="0.25">
      <c r="B38" s="1">
        <f t="shared" si="1"/>
        <v>8</v>
      </c>
      <c r="C38" s="16" t="s">
        <v>11</v>
      </c>
      <c r="D38" s="16" t="s">
        <v>102</v>
      </c>
      <c r="E38" s="15" t="s">
        <v>85</v>
      </c>
      <c r="F38" s="15" t="s">
        <v>25</v>
      </c>
      <c r="G38" s="5" t="s">
        <v>5</v>
      </c>
      <c r="H38" s="13" t="s">
        <v>62</v>
      </c>
      <c r="I38" s="6" t="s">
        <v>97</v>
      </c>
    </row>
    <row r="39" spans="2:9" ht="38.25" x14ac:dyDescent="0.25">
      <c r="B39" s="1">
        <f t="shared" si="1"/>
        <v>9</v>
      </c>
      <c r="C39" s="1" t="s">
        <v>12</v>
      </c>
      <c r="D39" s="1" t="s">
        <v>86</v>
      </c>
      <c r="E39" s="15" t="s">
        <v>85</v>
      </c>
      <c r="F39" s="5" t="s">
        <v>24</v>
      </c>
      <c r="G39" s="5" t="s">
        <v>7</v>
      </c>
      <c r="H39" s="13" t="s">
        <v>75</v>
      </c>
      <c r="I39" s="6" t="s">
        <v>97</v>
      </c>
    </row>
    <row r="40" spans="2:9" ht="25.5" x14ac:dyDescent="0.25">
      <c r="B40" s="1">
        <f t="shared" si="1"/>
        <v>10</v>
      </c>
      <c r="C40" s="1" t="s">
        <v>76</v>
      </c>
      <c r="D40" s="1" t="s">
        <v>91</v>
      </c>
      <c r="E40" s="15" t="s">
        <v>85</v>
      </c>
      <c r="F40" s="5" t="s">
        <v>24</v>
      </c>
      <c r="G40" s="5" t="s">
        <v>10</v>
      </c>
      <c r="H40" s="13" t="s">
        <v>26</v>
      </c>
      <c r="I40" s="6" t="s">
        <v>97</v>
      </c>
    </row>
    <row r="41" spans="2:9" ht="25.5" x14ac:dyDescent="0.25">
      <c r="B41" s="1">
        <f t="shared" si="1"/>
        <v>11</v>
      </c>
      <c r="C41" s="1" t="s">
        <v>13</v>
      </c>
      <c r="D41" s="1" t="s">
        <v>89</v>
      </c>
      <c r="E41" s="15" t="s">
        <v>85</v>
      </c>
      <c r="F41" s="5" t="s">
        <v>24</v>
      </c>
      <c r="G41" s="5" t="s">
        <v>7</v>
      </c>
      <c r="H41" s="13" t="s">
        <v>72</v>
      </c>
      <c r="I41" s="6" t="s">
        <v>97</v>
      </c>
    </row>
    <row r="42" spans="2:9" ht="25.5" x14ac:dyDescent="0.25">
      <c r="B42" s="1">
        <f t="shared" si="1"/>
        <v>12</v>
      </c>
      <c r="C42" s="1" t="s">
        <v>77</v>
      </c>
      <c r="D42" s="1" t="s">
        <v>89</v>
      </c>
      <c r="E42" s="15" t="s">
        <v>85</v>
      </c>
      <c r="F42" s="5" t="s">
        <v>24</v>
      </c>
      <c r="G42" s="5" t="s">
        <v>7</v>
      </c>
      <c r="H42" s="13" t="s">
        <v>72</v>
      </c>
      <c r="I42" s="6" t="s">
        <v>97</v>
      </c>
    </row>
    <row r="43" spans="2:9" ht="51" x14ac:dyDescent="0.25">
      <c r="B43" s="1">
        <f t="shared" si="1"/>
        <v>13</v>
      </c>
      <c r="C43" s="1" t="s">
        <v>14</v>
      </c>
      <c r="D43" s="1" t="s">
        <v>87</v>
      </c>
      <c r="E43" s="15" t="s">
        <v>85</v>
      </c>
      <c r="F43" s="15" t="s">
        <v>25</v>
      </c>
      <c r="G43" s="5" t="s">
        <v>5</v>
      </c>
      <c r="H43" s="13" t="s">
        <v>78</v>
      </c>
      <c r="I43" s="6" t="s">
        <v>97</v>
      </c>
    </row>
    <row r="44" spans="2:9" ht="51" x14ac:dyDescent="0.25">
      <c r="B44" s="1">
        <f t="shared" si="1"/>
        <v>14</v>
      </c>
      <c r="C44" s="1" t="s">
        <v>15</v>
      </c>
      <c r="D44" s="1" t="s">
        <v>89</v>
      </c>
      <c r="E44" s="15" t="s">
        <v>85</v>
      </c>
      <c r="F44" s="15" t="s">
        <v>25</v>
      </c>
      <c r="G44" s="5" t="s">
        <v>10</v>
      </c>
      <c r="H44" s="13" t="s">
        <v>80</v>
      </c>
      <c r="I44" s="6" t="s">
        <v>97</v>
      </c>
    </row>
    <row r="45" spans="2:9" ht="51" x14ac:dyDescent="0.25">
      <c r="B45" s="1">
        <f t="shared" si="1"/>
        <v>15</v>
      </c>
      <c r="C45" s="1" t="s">
        <v>16</v>
      </c>
      <c r="D45" s="1" t="s">
        <v>88</v>
      </c>
      <c r="E45" s="15" t="s">
        <v>85</v>
      </c>
      <c r="F45" s="15" t="s">
        <v>25</v>
      </c>
      <c r="G45" s="5" t="s">
        <v>10</v>
      </c>
      <c r="H45" s="13" t="s">
        <v>81</v>
      </c>
      <c r="I45" s="6" t="s">
        <v>97</v>
      </c>
    </row>
    <row r="46" spans="2:9" ht="25.5" x14ac:dyDescent="0.25">
      <c r="B46" s="1">
        <f t="shared" si="1"/>
        <v>16</v>
      </c>
      <c r="C46" s="1" t="s">
        <v>17</v>
      </c>
      <c r="D46" s="1" t="s">
        <v>88</v>
      </c>
      <c r="E46" s="15" t="s">
        <v>85</v>
      </c>
      <c r="F46" s="15" t="s">
        <v>25</v>
      </c>
      <c r="G46" s="5" t="s">
        <v>5</v>
      </c>
      <c r="H46" s="13" t="s">
        <v>82</v>
      </c>
      <c r="I46" s="6" t="s">
        <v>97</v>
      </c>
    </row>
    <row r="47" spans="2:9" ht="38.25" x14ac:dyDescent="0.25">
      <c r="B47" s="1">
        <f t="shared" si="1"/>
        <v>17</v>
      </c>
      <c r="C47" s="1" t="s">
        <v>18</v>
      </c>
      <c r="D47" s="1" t="s">
        <v>88</v>
      </c>
      <c r="E47" s="15" t="s">
        <v>85</v>
      </c>
      <c r="F47" s="15" t="s">
        <v>25</v>
      </c>
      <c r="G47" s="5" t="s">
        <v>10</v>
      </c>
      <c r="H47" s="13" t="s">
        <v>79</v>
      </c>
      <c r="I47" s="6" t="s">
        <v>97</v>
      </c>
    </row>
    <row r="49" spans="1:5" x14ac:dyDescent="0.25">
      <c r="A49" s="19"/>
      <c r="B49" s="19"/>
      <c r="C49" s="18"/>
      <c r="D49" s="18"/>
      <c r="E49" s="18"/>
    </row>
  </sheetData>
  <conditionalFormatting sqref="E25:E28">
    <cfRule type="cellIs" priority="3" operator="equal">
      <formula>0</formula>
    </cfRule>
    <cfRule type="cellIs" priority="4" operator="lessThanOrEqual">
      <formula>""""""</formula>
    </cfRule>
  </conditionalFormatting>
  <conditionalFormatting sqref="E31:E47">
    <cfRule type="cellIs" priority="1" operator="equal">
      <formula>0</formula>
    </cfRule>
    <cfRule type="cellIs" priority="2" operator="lessThanOrEqual">
      <formula>""""""</formula>
    </cfRule>
  </conditionalFormatting>
  <conditionalFormatting sqref="E8:F22">
    <cfRule type="cellIs" priority="5" operator="equal">
      <formula>0</formula>
    </cfRule>
    <cfRule type="cellIs" priority="6" operator="lessThanOrEqual">
      <formula>""""""</formula>
    </cfRule>
  </conditionalFormatting>
  <conditionalFormatting sqref="F24:F28 F30:F47">
    <cfRule type="cellIs" priority="9" operator="equal">
      <formula>0</formula>
    </cfRule>
    <cfRule type="cellIs" priority="10" operator="lessThanOrEqual">
      <formula>""""""</formula>
    </cfRule>
  </conditionalFormatting>
  <conditionalFormatting sqref="G8">
    <cfRule type="cellIs" priority="7" operator="equal">
      <formula>0</formula>
    </cfRule>
    <cfRule type="cellIs" priority="8" operator="lessThanOrEqual">
      <formula>""""""</formula>
    </cfRule>
  </conditionalFormatting>
  <pageMargins left="0.75" right="0.75" top="1" bottom="1" header="0.5" footer="0.5"/>
  <pageSetup scale="51" fitToHeight="2" orientation="landscape" horizontalDpi="4294967293" r:id="rId1"/>
  <headerFooter alignWithMargins="0">
    <oddFooter>&amp;L&amp;D&amp;C&amp;F&amp;R&amp;P</oddFooter>
  </headerFooter>
  <rowBreaks count="1" manualBreakCount="1">
    <brk id="23" max="6" man="1"/>
  </rowBreak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data_request_log</vt:lpstr>
      <vt:lpstr>data_request_log!Print_Area</vt:lpstr>
      <vt:lpstr>data_request_log!Print_Titles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Wilson</dc:creator>
  <cp:lastModifiedBy>NINA WILSON</cp:lastModifiedBy>
  <dcterms:created xsi:type="dcterms:W3CDTF">2019-06-25T02:22:39Z</dcterms:created>
  <dcterms:modified xsi:type="dcterms:W3CDTF">2026-05-08T18:11:41Z</dcterms:modified>
</cp:coreProperties>
</file>