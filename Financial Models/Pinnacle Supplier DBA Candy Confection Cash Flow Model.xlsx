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3.xml" ContentType="application/vnd.openxmlformats-officedocument.drawing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updateLinks="always"/>
  <mc:AlternateContent xmlns:mc="http://schemas.openxmlformats.org/markup-compatibility/2006">
    <mc:Choice Requires="x15">
      <x15ac:absPath xmlns:x15ac="http://schemas.microsoft.com/office/spreadsheetml/2010/11/ac" url="https://d.docs.live.net/26a881200fc4196e/Desktop/Meta Finance Change/Templates/"/>
    </mc:Choice>
  </mc:AlternateContent>
  <xr:revisionPtr revIDLastSave="0" documentId="8_{1A3DE257-349C-4724-AD1E-E0BB9DC6B0D0}" xr6:coauthVersionLast="47" xr6:coauthVersionMax="47" xr10:uidLastSave="{00000000-0000-0000-0000-000000000000}"/>
  <bookViews>
    <workbookView xWindow="28680" yWindow="1425" windowWidth="20730" windowHeight="11040" xr2:uid="{D05638A6-15BF-46E9-AD45-237500BABA65}"/>
  </bookViews>
  <sheets>
    <sheet name="Assumptions" sheetId="2" r:id="rId1"/>
    <sheet name="Cash_Flow_Forecast" sheetId="13" r:id="rId2"/>
    <sheet name="P&amp;L_Forecast" sheetId="1" r:id="rId3"/>
    <sheet name="Support_Schedules&gt;" sheetId="5" r:id="rId4"/>
    <sheet name="Sales_Forecast" sheetId="9" r:id="rId5"/>
    <sheet name="Payroll" sheetId="7" r:id="rId6"/>
    <sheet name="AR_Aging" sheetId="10" r:id="rId7"/>
    <sheet name="AP_Aging" sheetId="11" r:id="rId8"/>
    <sheet name="Cost_Expense_Fcst" sheetId="8" r:id="rId9"/>
    <sheet name="Capex" sheetId="12" r:id="rId10"/>
    <sheet name="Debt_Service" sheetId="16" r:id="rId11"/>
  </sheets>
  <definedNames>
    <definedName name="_xlnm._FilterDatabase" localSheetId="5" hidden="1">Payroll!$B$5:$AA$5</definedName>
    <definedName name="Bonus_Month">Assumptions!$C$20</definedName>
    <definedName name="Bonus_Percentage">Assumptions!$C$19</definedName>
    <definedName name="Company_Name">Assumptions!$C$4</definedName>
    <definedName name="Currency_Denominator">Assumptions!$C$10</definedName>
    <definedName name="Currency_Disclaimer">Assumptions!$C$6</definedName>
    <definedName name="Gross_Margin">'P&amp;L_Forecast'!$X$23</definedName>
    <definedName name="Gross_Profit">'P&amp;L_Forecast'!$X$22</definedName>
    <definedName name="Net_Cash_Flow">Cash_Flow_Forecast!$X$43</definedName>
    <definedName name="Net_Margin">'P&amp;L_Forecast'!$X$36</definedName>
    <definedName name="NFL_Confidential_Toggle">Assumptions!$D$71</definedName>
    <definedName name="Price_Increase">Assumptions!$C$24</definedName>
    <definedName name="Salary_Deductions">Assumptions!$C$18</definedName>
    <definedName name="Tax_Rate">Assumptions!$C$12</definedName>
    <definedName name="Total_Cash_Receipts">Cash_Flow_Forecast!$X$14</definedName>
    <definedName name="Total_COGS">'P&amp;L_Forecast'!$X$20</definedName>
    <definedName name="Total_Direct_Labor">'P&amp;L_Forecast'!$X$17</definedName>
    <definedName name="Total_Sales">'P&amp;L_Forecast'!$X$14</definedName>
    <definedName name="Total_Wages_Benefits">Cash_Flow_Forecast!$X$19</definedName>
    <definedName name="Utilities_Minimum_Spend">Assumptions!$C$22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8" l="1"/>
  <c r="G14" i="8"/>
  <c r="G21" i="8"/>
  <c r="G31" i="8"/>
  <c r="M7" i="8" l="1"/>
  <c r="X6" i="1"/>
  <c r="X6" i="13"/>
  <c r="V149" i="1" l="1"/>
  <c r="U149" i="1"/>
  <c r="V30" i="13"/>
  <c r="V7" i="13"/>
  <c r="V6" i="13"/>
  <c r="V133" i="1"/>
  <c r="V137" i="1" s="1"/>
  <c r="V115" i="1"/>
  <c r="V114" i="1"/>
  <c r="V47" i="1"/>
  <c r="V7" i="1"/>
  <c r="V6" i="1"/>
  <c r="AB28" i="7"/>
  <c r="AB27" i="7"/>
  <c r="AB25" i="7"/>
  <c r="AB14" i="7"/>
  <c r="AB7" i="7"/>
  <c r="E84" i="9" a="1"/>
  <c r="E84" i="9" s="1"/>
  <c r="E87" i="9" s="1"/>
  <c r="E80" i="9"/>
  <c r="V61" i="1" l="1"/>
  <c r="V151" i="1"/>
  <c r="V148" i="1"/>
  <c r="V152" i="1"/>
  <c r="V139" i="1"/>
  <c r="R79" i="9" l="1"/>
  <c r="R78" i="9"/>
  <c r="R77" i="9"/>
  <c r="R76" i="9"/>
  <c r="R75" i="9"/>
  <c r="R74" i="9"/>
  <c r="R73" i="9"/>
  <c r="R72" i="9"/>
  <c r="R71" i="9"/>
  <c r="R70" i="9"/>
  <c r="R69" i="9"/>
  <c r="R68" i="9"/>
  <c r="R67" i="9"/>
  <c r="R66" i="9"/>
  <c r="R65" i="9"/>
  <c r="R64" i="9"/>
  <c r="R63" i="9"/>
  <c r="R62" i="9"/>
  <c r="R61" i="9"/>
  <c r="R60" i="9"/>
  <c r="R59" i="9"/>
  <c r="R58" i="9"/>
  <c r="R57" i="9"/>
  <c r="R56" i="9"/>
  <c r="R55" i="9"/>
  <c r="R54" i="9"/>
  <c r="R53" i="9"/>
  <c r="R52" i="9"/>
  <c r="R51" i="9"/>
  <c r="R50" i="9"/>
  <c r="R49" i="9"/>
  <c r="R48" i="9"/>
  <c r="R47" i="9"/>
  <c r="R46" i="9"/>
  <c r="R45" i="9"/>
  <c r="R44" i="9"/>
  <c r="R43" i="9"/>
  <c r="R42" i="9"/>
  <c r="R41" i="9"/>
  <c r="R40" i="9"/>
  <c r="R39" i="9"/>
  <c r="R38" i="9"/>
  <c r="R37" i="9"/>
  <c r="R36" i="9"/>
  <c r="R35" i="9"/>
  <c r="R34" i="9"/>
  <c r="R33" i="9"/>
  <c r="R32" i="9"/>
  <c r="R31" i="9"/>
  <c r="R30" i="9"/>
  <c r="R29" i="9"/>
  <c r="R28" i="9"/>
  <c r="R27" i="9"/>
  <c r="R26" i="9"/>
  <c r="R25" i="9"/>
  <c r="R24" i="9"/>
  <c r="R23" i="9"/>
  <c r="R22" i="9"/>
  <c r="R21" i="9"/>
  <c r="R20" i="9"/>
  <c r="R19" i="9"/>
  <c r="R18" i="9"/>
  <c r="R17" i="9"/>
  <c r="R16" i="9"/>
  <c r="R15" i="9"/>
  <c r="R14" i="9"/>
  <c r="R13" i="9"/>
  <c r="R12" i="9"/>
  <c r="R11" i="9"/>
  <c r="R10" i="9"/>
  <c r="R9" i="9"/>
  <c r="R8" i="9"/>
  <c r="R7" i="9"/>
  <c r="AA7" i="8"/>
  <c r="R6" i="9"/>
  <c r="Q80" i="9"/>
  <c r="J6" i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J6" i="13"/>
  <c r="K6" i="13" s="1"/>
  <c r="L6" i="13" s="1"/>
  <c r="M6" i="13" s="1"/>
  <c r="N6" i="13" s="1"/>
  <c r="O6" i="13" s="1"/>
  <c r="P6" i="13" s="1"/>
  <c r="Q6" i="13" s="1"/>
  <c r="R6" i="13" s="1"/>
  <c r="S6" i="13" s="1"/>
  <c r="T6" i="13" s="1"/>
  <c r="U6" i="13" s="1"/>
  <c r="E14" i="2" l="1"/>
  <c r="D8" i="12" s="1"/>
  <c r="E13" i="2"/>
  <c r="D7" i="12" s="1"/>
  <c r="E12" i="2"/>
  <c r="D6" i="12" s="1"/>
  <c r="E9" i="2"/>
  <c r="F37" i="7" s="1"/>
  <c r="E7" i="2"/>
  <c r="D71" i="2" s="1"/>
  <c r="E24" i="2"/>
  <c r="C24" i="2" s="1"/>
  <c r="E22" i="2"/>
  <c r="C22" i="2" s="1"/>
  <c r="E19" i="2"/>
  <c r="C19" i="2" s="1"/>
  <c r="E18" i="2"/>
  <c r="C18" i="2" s="1"/>
  <c r="J7" i="7" s="1"/>
  <c r="E16" i="2"/>
  <c r="C16" i="2" s="1"/>
  <c r="E29" i="2"/>
  <c r="C29" i="2" s="1"/>
  <c r="E28" i="2"/>
  <c r="C28" i="2" s="1"/>
  <c r="E27" i="2"/>
  <c r="C27" i="2" s="1"/>
  <c r="E26" i="2"/>
  <c r="C26" i="2" s="1"/>
  <c r="F35" i="7" l="1"/>
  <c r="F29" i="7"/>
  <c r="F32" i="7"/>
  <c r="F34" i="7"/>
  <c r="F31" i="7"/>
  <c r="J133" i="1"/>
  <c r="X133" i="1" s="1"/>
  <c r="X134" i="1"/>
  <c r="X135" i="1"/>
  <c r="J137" i="1"/>
  <c r="K133" i="1" s="1"/>
  <c r="K137" i="1" s="1"/>
  <c r="L133" i="1" s="1"/>
  <c r="L137" i="1" s="1"/>
  <c r="M133" i="1" s="1"/>
  <c r="M137" i="1" s="1"/>
  <c r="N133" i="1" s="1"/>
  <c r="N137" i="1" s="1"/>
  <c r="O133" i="1" s="1"/>
  <c r="O137" i="1" s="1"/>
  <c r="P133" i="1" s="1"/>
  <c r="P137" i="1" s="1"/>
  <c r="Q133" i="1" s="1"/>
  <c r="Q137" i="1" s="1"/>
  <c r="R133" i="1" s="1"/>
  <c r="R137" i="1" s="1"/>
  <c r="S133" i="1" s="1"/>
  <c r="S137" i="1" s="1"/>
  <c r="T133" i="1" s="1"/>
  <c r="T137" i="1" s="1"/>
  <c r="U133" i="1" s="1"/>
  <c r="U137" i="1" s="1"/>
  <c r="D158" i="1"/>
  <c r="W29" i="1"/>
  <c r="W28" i="1"/>
  <c r="W27" i="1"/>
  <c r="B1" i="2" a="1"/>
  <c r="B1" i="2" s="1"/>
  <c r="D164" i="1"/>
  <c r="D161" i="1"/>
  <c r="D155" i="1"/>
  <c r="W33" i="13"/>
  <c r="G7" i="16"/>
  <c r="V155" i="1" l="1"/>
  <c r="V154" i="1"/>
  <c r="V161" i="1"/>
  <c r="V160" i="1"/>
  <c r="V164" i="1"/>
  <c r="V163" i="1"/>
  <c r="J157" i="1"/>
  <c r="V158" i="1"/>
  <c r="V166" i="1" s="1"/>
  <c r="V157" i="1"/>
  <c r="X137" i="1"/>
  <c r="F7" i="16"/>
  <c r="E8" i="16"/>
  <c r="F8" i="16" l="1"/>
  <c r="G8" i="16"/>
  <c r="E9" i="16"/>
  <c r="G9" i="16" l="1"/>
  <c r="E10" i="16"/>
  <c r="F9" i="16"/>
  <c r="G10" i="16" l="1"/>
  <c r="E11" i="16"/>
  <c r="F10" i="16"/>
  <c r="G11" i="16" l="1"/>
  <c r="E12" i="16"/>
  <c r="F11" i="16"/>
  <c r="G12" i="16" l="1"/>
  <c r="E13" i="16"/>
  <c r="F12" i="16"/>
  <c r="G13" i="16" l="1"/>
  <c r="E14" i="16"/>
  <c r="F13" i="16"/>
  <c r="G14" i="16" l="1"/>
  <c r="E15" i="16"/>
  <c r="F14" i="16"/>
  <c r="G15" i="16" l="1"/>
  <c r="E16" i="16"/>
  <c r="F15" i="16"/>
  <c r="G16" i="16" l="1"/>
  <c r="E17" i="16"/>
  <c r="F16" i="16"/>
  <c r="G17" i="16" l="1"/>
  <c r="E18" i="16"/>
  <c r="F17" i="16"/>
  <c r="G18" i="16" l="1"/>
  <c r="E19" i="16"/>
  <c r="F18" i="16"/>
  <c r="G19" i="16" l="1"/>
  <c r="E20" i="16"/>
  <c r="F19" i="16"/>
  <c r="G20" i="16" l="1"/>
  <c r="E21" i="16"/>
  <c r="F20" i="16"/>
  <c r="G21" i="16" l="1"/>
  <c r="E22" i="16"/>
  <c r="F21" i="16"/>
  <c r="G22" i="16" l="1"/>
  <c r="E23" i="16"/>
  <c r="F22" i="16"/>
  <c r="G23" i="16" l="1"/>
  <c r="E24" i="16"/>
  <c r="F23" i="16"/>
  <c r="G24" i="16" l="1"/>
  <c r="E25" i="16"/>
  <c r="F24" i="16"/>
  <c r="G25" i="16" l="1"/>
  <c r="E26" i="16"/>
  <c r="F25" i="16"/>
  <c r="G26" i="16" l="1"/>
  <c r="E27" i="16"/>
  <c r="F26" i="16"/>
  <c r="G27" i="16" l="1"/>
  <c r="E28" i="16"/>
  <c r="F27" i="16"/>
  <c r="G28" i="16" l="1"/>
  <c r="E29" i="16"/>
  <c r="F28" i="16"/>
  <c r="G29" i="16" l="1"/>
  <c r="E30" i="16"/>
  <c r="F29" i="16"/>
  <c r="G30" i="16" l="1"/>
  <c r="E31" i="16"/>
  <c r="F30" i="16"/>
  <c r="G31" i="16" l="1"/>
  <c r="E32" i="16"/>
  <c r="F31" i="16"/>
  <c r="G32" i="16" l="1"/>
  <c r="E33" i="16"/>
  <c r="F32" i="16"/>
  <c r="G33" i="16" l="1"/>
  <c r="E34" i="16"/>
  <c r="F33" i="16"/>
  <c r="G34" i="16" l="1"/>
  <c r="E35" i="16"/>
  <c r="F34" i="16"/>
  <c r="G35" i="16" l="1"/>
  <c r="E36" i="16"/>
  <c r="F35" i="16"/>
  <c r="G36" i="16" l="1"/>
  <c r="E37" i="16"/>
  <c r="F36" i="16"/>
  <c r="G37" i="16" l="1"/>
  <c r="E38" i="16"/>
  <c r="F37" i="16"/>
  <c r="G38" i="16" l="1"/>
  <c r="E39" i="16"/>
  <c r="F38" i="16"/>
  <c r="G39" i="16" l="1"/>
  <c r="E40" i="16"/>
  <c r="F39" i="16"/>
  <c r="G40" i="16" l="1"/>
  <c r="F40" i="16"/>
  <c r="E41" i="16"/>
  <c r="G41" i="16" l="1"/>
  <c r="E42" i="16"/>
  <c r="F41" i="16"/>
  <c r="F42" i="16" l="1"/>
  <c r="G42" i="16"/>
  <c r="B1" i="16" l="1" a="1"/>
  <c r="B1" i="16" s="1"/>
  <c r="S50" i="12"/>
  <c r="R50" i="12"/>
  <c r="Q50" i="12"/>
  <c r="P50" i="12"/>
  <c r="O50" i="12"/>
  <c r="N50" i="12"/>
  <c r="M50" i="12"/>
  <c r="L50" i="12"/>
  <c r="K50" i="12"/>
  <c r="J50" i="12"/>
  <c r="I50" i="12"/>
  <c r="H50" i="12"/>
  <c r="H13" i="12"/>
  <c r="S39" i="12"/>
  <c r="R39" i="12"/>
  <c r="Q39" i="12"/>
  <c r="P39" i="12"/>
  <c r="O39" i="12"/>
  <c r="N39" i="12"/>
  <c r="M39" i="12"/>
  <c r="L39" i="12"/>
  <c r="K39" i="12"/>
  <c r="J39" i="12"/>
  <c r="I39" i="12"/>
  <c r="H39" i="12"/>
  <c r="S38" i="12"/>
  <c r="R38" i="12"/>
  <c r="Q38" i="12"/>
  <c r="P38" i="12"/>
  <c r="O38" i="12"/>
  <c r="N38" i="12"/>
  <c r="M38" i="12"/>
  <c r="L38" i="12"/>
  <c r="K38" i="12"/>
  <c r="J38" i="12"/>
  <c r="I38" i="12"/>
  <c r="H38" i="12"/>
  <c r="S37" i="12"/>
  <c r="R37" i="12"/>
  <c r="Q37" i="12"/>
  <c r="P37" i="12"/>
  <c r="O37" i="12"/>
  <c r="N37" i="12"/>
  <c r="M37" i="12"/>
  <c r="L37" i="12"/>
  <c r="K37" i="12"/>
  <c r="J37" i="12"/>
  <c r="I37" i="12"/>
  <c r="H37" i="12"/>
  <c r="S27" i="12"/>
  <c r="R27" i="12"/>
  <c r="Q27" i="12"/>
  <c r="P27" i="12"/>
  <c r="O27" i="12"/>
  <c r="N27" i="12"/>
  <c r="M27" i="12"/>
  <c r="L27" i="12"/>
  <c r="K27" i="12"/>
  <c r="J27" i="12"/>
  <c r="I27" i="12"/>
  <c r="H27" i="12"/>
  <c r="S26" i="12"/>
  <c r="R26" i="12"/>
  <c r="Q26" i="12"/>
  <c r="P26" i="12"/>
  <c r="O26" i="12"/>
  <c r="N26" i="12"/>
  <c r="M26" i="12"/>
  <c r="L26" i="12"/>
  <c r="K26" i="12"/>
  <c r="J26" i="12"/>
  <c r="I26" i="12"/>
  <c r="H26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S15" i="12"/>
  <c r="R15" i="12"/>
  <c r="Q15" i="12"/>
  <c r="P15" i="12"/>
  <c r="O15" i="12"/>
  <c r="N15" i="12"/>
  <c r="M15" i="12"/>
  <c r="L15" i="12"/>
  <c r="K15" i="12"/>
  <c r="J15" i="12"/>
  <c r="I15" i="12"/>
  <c r="H15" i="12"/>
  <c r="S14" i="12"/>
  <c r="R14" i="12"/>
  <c r="Q14" i="12"/>
  <c r="P14" i="12"/>
  <c r="O14" i="12"/>
  <c r="N14" i="12"/>
  <c r="M14" i="12"/>
  <c r="L14" i="12"/>
  <c r="K14" i="12"/>
  <c r="J14" i="12"/>
  <c r="I14" i="12"/>
  <c r="H14" i="12"/>
  <c r="S13" i="12"/>
  <c r="R13" i="12"/>
  <c r="Q13" i="12"/>
  <c r="P13" i="12"/>
  <c r="O13" i="12"/>
  <c r="N13" i="12"/>
  <c r="M13" i="12"/>
  <c r="L13" i="12"/>
  <c r="K13" i="12"/>
  <c r="J13" i="12"/>
  <c r="I13" i="12"/>
  <c r="B8" i="12"/>
  <c r="B7" i="12"/>
  <c r="B6" i="12"/>
  <c r="I6" i="11"/>
  <c r="I7" i="11"/>
  <c r="I8" i="11"/>
  <c r="I9" i="11"/>
  <c r="I10" i="11"/>
  <c r="I11" i="11"/>
  <c r="J84" i="1"/>
  <c r="I69" i="1"/>
  <c r="B54" i="1"/>
  <c r="B53" i="1"/>
  <c r="I148" i="1"/>
  <c r="I149" i="1" s="1"/>
  <c r="I152" i="1"/>
  <c r="F41" i="7" l="1"/>
  <c r="C41" i="7"/>
  <c r="Q7" i="7"/>
  <c r="Q14" i="7"/>
  <c r="Q31" i="7"/>
  <c r="Q32" i="7"/>
  <c r="Q33" i="7"/>
  <c r="Q34" i="7"/>
  <c r="Q35" i="7"/>
  <c r="Q36" i="7"/>
  <c r="Q37" i="7"/>
  <c r="Q38" i="7"/>
  <c r="Q39" i="7"/>
  <c r="Q40" i="7"/>
  <c r="R7" i="7"/>
  <c r="R14" i="7"/>
  <c r="R31" i="7"/>
  <c r="R32" i="7"/>
  <c r="R33" i="7"/>
  <c r="R34" i="7"/>
  <c r="R35" i="7"/>
  <c r="R36" i="7"/>
  <c r="R37" i="7"/>
  <c r="R38" i="7"/>
  <c r="R39" i="7"/>
  <c r="R40" i="7"/>
  <c r="S7" i="7"/>
  <c r="S14" i="7"/>
  <c r="S27" i="7"/>
  <c r="S33" i="7"/>
  <c r="S34" i="7"/>
  <c r="S35" i="7"/>
  <c r="S36" i="7"/>
  <c r="S37" i="7"/>
  <c r="S38" i="7"/>
  <c r="S39" i="7"/>
  <c r="S40" i="7"/>
  <c r="T7" i="7"/>
  <c r="T14" i="7"/>
  <c r="T27" i="7"/>
  <c r="T34" i="7"/>
  <c r="T35" i="7"/>
  <c r="T36" i="7"/>
  <c r="T37" i="7"/>
  <c r="T38" i="7"/>
  <c r="T39" i="7"/>
  <c r="T40" i="7"/>
  <c r="U7" i="7"/>
  <c r="U14" i="7"/>
  <c r="U27" i="7"/>
  <c r="U37" i="7"/>
  <c r="U38" i="7"/>
  <c r="U39" i="7"/>
  <c r="U40" i="7"/>
  <c r="V7" i="7"/>
  <c r="V14" i="7"/>
  <c r="V25" i="7"/>
  <c r="V27" i="7"/>
  <c r="V38" i="7"/>
  <c r="V39" i="7"/>
  <c r="V40" i="7"/>
  <c r="W7" i="7"/>
  <c r="W14" i="7"/>
  <c r="W25" i="7"/>
  <c r="W27" i="7"/>
  <c r="W40" i="7"/>
  <c r="X7" i="7"/>
  <c r="X14" i="7"/>
  <c r="X25" i="7"/>
  <c r="X27" i="7"/>
  <c r="X40" i="7"/>
  <c r="Y7" i="7"/>
  <c r="Y14" i="7"/>
  <c r="Y25" i="7"/>
  <c r="Y27" i="7"/>
  <c r="Y28" i="7"/>
  <c r="Z7" i="7"/>
  <c r="Z14" i="7"/>
  <c r="Z25" i="7"/>
  <c r="Z27" i="7"/>
  <c r="Z28" i="7"/>
  <c r="AA7" i="7"/>
  <c r="AA14" i="7"/>
  <c r="AA25" i="7"/>
  <c r="AA27" i="7"/>
  <c r="AA28" i="7"/>
  <c r="P7" i="7"/>
  <c r="P14" i="7"/>
  <c r="P31" i="7"/>
  <c r="P32" i="7"/>
  <c r="P33" i="7"/>
  <c r="P34" i="7"/>
  <c r="P35" i="7"/>
  <c r="P36" i="7"/>
  <c r="P37" i="7"/>
  <c r="P38" i="7"/>
  <c r="P39" i="7"/>
  <c r="P40" i="7"/>
  <c r="AC14" i="7" l="1"/>
  <c r="AC7" i="7"/>
  <c r="I131" i="1"/>
  <c r="J127" i="1" s="1"/>
  <c r="U7" i="13"/>
  <c r="T7" i="13"/>
  <c r="S7" i="13"/>
  <c r="R7" i="13"/>
  <c r="Q7" i="13"/>
  <c r="P7" i="13"/>
  <c r="O7" i="13"/>
  <c r="N7" i="13"/>
  <c r="M7" i="13"/>
  <c r="L7" i="13"/>
  <c r="K7" i="13"/>
  <c r="J7" i="13"/>
  <c r="B1" i="13" a="1"/>
  <c r="B1" i="13" s="1"/>
  <c r="B1" i="12" a="1"/>
  <c r="B1" i="12" s="1"/>
  <c r="U48" i="12"/>
  <c r="D40" i="12"/>
  <c r="D28" i="12"/>
  <c r="D16" i="12"/>
  <c r="D54" i="12" s="1"/>
  <c r="I164" i="1"/>
  <c r="I151" i="1"/>
  <c r="J97" i="1"/>
  <c r="X97" i="1" s="1"/>
  <c r="J105" i="1"/>
  <c r="AC21" i="8"/>
  <c r="B1" i="11" a="1"/>
  <c r="B1" i="11" s="1"/>
  <c r="B1" i="10" a="1"/>
  <c r="B1" i="10" s="1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F46" i="10"/>
  <c r="I51" i="1" s="1"/>
  <c r="O7" i="7" l="1"/>
  <c r="O14" i="7"/>
  <c r="I160" i="1"/>
  <c r="F5" i="13" a="1"/>
  <c r="F5" i="13" s="1"/>
  <c r="I161" i="1"/>
  <c r="I75" i="1"/>
  <c r="I77" i="1" s="1"/>
  <c r="I154" i="1"/>
  <c r="I157" i="1"/>
  <c r="I155" i="1"/>
  <c r="I158" i="1"/>
  <c r="I166" i="1" s="1"/>
  <c r="I163" i="1"/>
  <c r="X105" i="1"/>
  <c r="I78" i="1" l="1"/>
  <c r="I80" i="1" s="1"/>
  <c r="J113" i="1" l="1"/>
  <c r="W69" i="1"/>
  <c r="X113" i="1" l="1"/>
  <c r="J70" i="1"/>
  <c r="C34" i="2" a="1"/>
  <c r="C34" i="2" s="1"/>
  <c r="B84" i="9" a="1"/>
  <c r="B84" i="9" s="1"/>
  <c r="F80" i="9"/>
  <c r="G80" i="9"/>
  <c r="H80" i="9"/>
  <c r="I80" i="9"/>
  <c r="J80" i="9"/>
  <c r="K80" i="9"/>
  <c r="L80" i="9"/>
  <c r="M80" i="9"/>
  <c r="N80" i="9"/>
  <c r="O80" i="9"/>
  <c r="P80" i="9"/>
  <c r="O84" i="9" l="1" a="1"/>
  <c r="O84" i="9" s="1"/>
  <c r="O87" i="9" s="1"/>
  <c r="Q84" i="9" a="1"/>
  <c r="Q84" i="9" s="1"/>
  <c r="Q87" i="9" s="1"/>
  <c r="B34" i="2" a="1"/>
  <c r="B34" i="2" s="1"/>
  <c r="D6" i="9" a="1"/>
  <c r="D6" i="9" s="1"/>
  <c r="D42" i="9" a="1"/>
  <c r="D42" i="9" s="1"/>
  <c r="D61" i="9" a="1"/>
  <c r="D61" i="9" s="1"/>
  <c r="D60" i="9" a="1"/>
  <c r="D60" i="9" s="1"/>
  <c r="D41" i="9" a="1"/>
  <c r="D41" i="9" s="1"/>
  <c r="D21" i="9" a="1"/>
  <c r="D21" i="9" s="1"/>
  <c r="D19" i="9" a="1"/>
  <c r="D19" i="9" s="1"/>
  <c r="D78" i="9" a="1"/>
  <c r="D78" i="9" s="1"/>
  <c r="D57" i="9" a="1"/>
  <c r="D57" i="9" s="1"/>
  <c r="D37" i="9" a="1"/>
  <c r="D37" i="9" s="1"/>
  <c r="D18" i="9" a="1"/>
  <c r="D18" i="9" s="1"/>
  <c r="D44" i="9" a="1"/>
  <c r="D44" i="9" s="1"/>
  <c r="D23" i="9" a="1"/>
  <c r="D23" i="9" s="1"/>
  <c r="D62" i="9" a="1"/>
  <c r="D62" i="9" s="1"/>
  <c r="D22" i="9" a="1"/>
  <c r="D22" i="9" s="1"/>
  <c r="D59" i="9" a="1"/>
  <c r="D59" i="9" s="1"/>
  <c r="D40" i="9" a="1"/>
  <c r="D40" i="9" s="1"/>
  <c r="D20" i="9" a="1"/>
  <c r="D20" i="9" s="1"/>
  <c r="D36" i="9" a="1"/>
  <c r="D36" i="9" s="1"/>
  <c r="D75" i="9" a="1"/>
  <c r="D75" i="9" s="1"/>
  <c r="D54" i="9" a="1"/>
  <c r="D54" i="9" s="1"/>
  <c r="D16" i="9" a="1"/>
  <c r="D16" i="9" s="1"/>
  <c r="D52" i="9" a="1"/>
  <c r="D52" i="9" s="1"/>
  <c r="D32" i="9" a="1"/>
  <c r="D32" i="9" s="1"/>
  <c r="D70" i="9" a="1"/>
  <c r="D70" i="9" s="1"/>
  <c r="D50" i="9" a="1"/>
  <c r="D50" i="9" s="1"/>
  <c r="D12" i="9" a="1"/>
  <c r="D12" i="9" s="1"/>
  <c r="D28" i="9" a="1"/>
  <c r="D28" i="9" s="1"/>
  <c r="D67" i="9" a="1"/>
  <c r="D67" i="9" s="1"/>
  <c r="D47" i="9" a="1"/>
  <c r="D47" i="9" s="1"/>
  <c r="D66" i="9" a="1"/>
  <c r="D66" i="9" s="1"/>
  <c r="D27" i="9" a="1"/>
  <c r="D27" i="9" s="1"/>
  <c r="D65" i="9" a="1"/>
  <c r="D65" i="9" s="1"/>
  <c r="D46" i="9" a="1"/>
  <c r="D46" i="9" s="1"/>
  <c r="D8" i="9" a="1"/>
  <c r="D8" i="9" s="1"/>
  <c r="D58" i="9" a="1"/>
  <c r="D58" i="9" s="1"/>
  <c r="D77" i="9" a="1"/>
  <c r="D77" i="9" s="1"/>
  <c r="D35" i="9" a="1"/>
  <c r="D35" i="9" s="1"/>
  <c r="D34" i="9" a="1"/>
  <c r="D34" i="9" s="1"/>
  <c r="D33" i="9" a="1"/>
  <c r="D33" i="9" s="1"/>
  <c r="D14" i="9" a="1"/>
  <c r="D14" i="9" s="1"/>
  <c r="D72" i="9" a="1"/>
  <c r="D72" i="9" s="1"/>
  <c r="D51" i="9" a="1"/>
  <c r="D51" i="9" s="1"/>
  <c r="D13" i="9" a="1"/>
  <c r="D13" i="9" s="1"/>
  <c r="D71" i="9" a="1"/>
  <c r="D71" i="9" s="1"/>
  <c r="D69" i="9" a="1"/>
  <c r="D69" i="9" s="1"/>
  <c r="D49" i="9" a="1"/>
  <c r="D49" i="9" s="1"/>
  <c r="D30" i="9" a="1"/>
  <c r="D30" i="9" s="1"/>
  <c r="D29" i="9" a="1"/>
  <c r="D29" i="9" s="1"/>
  <c r="D68" i="9" a="1"/>
  <c r="D68" i="9" s="1"/>
  <c r="D10" i="9" a="1"/>
  <c r="D10" i="9" s="1"/>
  <c r="D64" i="9" a="1"/>
  <c r="D64" i="9" s="1"/>
  <c r="D45" i="9" a="1"/>
  <c r="D45" i="9" s="1"/>
  <c r="D26" i="9" a="1"/>
  <c r="D26" i="9" s="1"/>
  <c r="D7" i="9" a="1"/>
  <c r="D7" i="9" s="1"/>
  <c r="D63" i="9" a="1"/>
  <c r="D63" i="9" s="1"/>
  <c r="D24" i="9" a="1"/>
  <c r="D24" i="9" s="1"/>
  <c r="D39" i="9" a="1"/>
  <c r="D39" i="9" s="1"/>
  <c r="D79" i="9" a="1"/>
  <c r="D79" i="9" s="1"/>
  <c r="D38" i="9" a="1"/>
  <c r="D38" i="9" s="1"/>
  <c r="D56" i="9" a="1"/>
  <c r="D56" i="9" s="1"/>
  <c r="D17" i="9" a="1"/>
  <c r="D17" i="9" s="1"/>
  <c r="D76" i="9" a="1"/>
  <c r="D76" i="9" s="1"/>
  <c r="D55" i="9" a="1"/>
  <c r="D55" i="9" s="1"/>
  <c r="D53" i="9" a="1"/>
  <c r="D53" i="9" s="1"/>
  <c r="D74" i="9" a="1"/>
  <c r="D74" i="9" s="1"/>
  <c r="D15" i="9" a="1"/>
  <c r="D15" i="9" s="1"/>
  <c r="D73" i="9" a="1"/>
  <c r="D73" i="9" s="1"/>
  <c r="D31" i="9" a="1"/>
  <c r="D31" i="9" s="1"/>
  <c r="D11" i="9" a="1"/>
  <c r="D11" i="9" s="1"/>
  <c r="D48" i="9" a="1"/>
  <c r="D48" i="9" s="1"/>
  <c r="D9" i="9" a="1"/>
  <c r="D9" i="9" s="1"/>
  <c r="D25" i="9" a="1"/>
  <c r="D25" i="9" s="1"/>
  <c r="K84" i="9" a="1"/>
  <c r="K84" i="9" s="1"/>
  <c r="K87" i="9" s="1"/>
  <c r="P84" i="9" a="1"/>
  <c r="P84" i="9" s="1"/>
  <c r="P87" i="9" s="1"/>
  <c r="G84" i="9" a="1"/>
  <c r="G84" i="9" s="1"/>
  <c r="G87" i="9" s="1"/>
  <c r="J84" i="9" a="1"/>
  <c r="J84" i="9" s="1"/>
  <c r="J87" i="9" s="1"/>
  <c r="L84" i="9" a="1"/>
  <c r="L84" i="9" s="1"/>
  <c r="L87" i="9" s="1"/>
  <c r="I84" i="9" a="1"/>
  <c r="I84" i="9" s="1"/>
  <c r="I87" i="9" s="1"/>
  <c r="M84" i="9" a="1"/>
  <c r="M84" i="9" s="1"/>
  <c r="M87" i="9" s="1"/>
  <c r="R84" i="9" a="1"/>
  <c r="N84" i="9" a="1"/>
  <c r="N84" i="9" s="1"/>
  <c r="N87" i="9" s="1"/>
  <c r="F84" i="9" a="1"/>
  <c r="F84" i="9" s="1"/>
  <c r="F87" i="9" s="1"/>
  <c r="H84" i="9" a="1"/>
  <c r="H84" i="9" s="1"/>
  <c r="H87" i="9" s="1"/>
  <c r="R80" i="9"/>
  <c r="M34" i="8"/>
  <c r="M33" i="8"/>
  <c r="K36" i="8"/>
  <c r="J36" i="8"/>
  <c r="I36" i="8"/>
  <c r="F31" i="8"/>
  <c r="E31" i="8"/>
  <c r="K11" i="8"/>
  <c r="J11" i="8"/>
  <c r="I11" i="8"/>
  <c r="M9" i="8"/>
  <c r="AA9" i="8" s="1"/>
  <c r="M8" i="8"/>
  <c r="AA8" i="8" s="1"/>
  <c r="F5" i="8"/>
  <c r="E5" i="8"/>
  <c r="B1" i="9" a="1"/>
  <c r="B1" i="9" s="1"/>
  <c r="B1" i="7" a="1"/>
  <c r="B1" i="7" s="1"/>
  <c r="B1" i="8" a="1"/>
  <c r="B1" i="8" s="1"/>
  <c r="K18" i="8"/>
  <c r="I18" i="8"/>
  <c r="K28" i="8"/>
  <c r="I28" i="8"/>
  <c r="F21" i="8"/>
  <c r="E21" i="8"/>
  <c r="F14" i="8"/>
  <c r="E14" i="8"/>
  <c r="M16" i="8"/>
  <c r="AA16" i="8" s="1"/>
  <c r="AA18" i="8" s="1"/>
  <c r="M23" i="8"/>
  <c r="M24" i="8"/>
  <c r="M25" i="8"/>
  <c r="M26" i="8"/>
  <c r="J40" i="7"/>
  <c r="K40" i="7" s="1"/>
  <c r="AB40" i="7" s="1"/>
  <c r="J39" i="7"/>
  <c r="K39" i="7" s="1"/>
  <c r="AB39" i="7" s="1"/>
  <c r="J38" i="7"/>
  <c r="K38" i="7" s="1"/>
  <c r="AB38" i="7" s="1"/>
  <c r="J37" i="7"/>
  <c r="K37" i="7" s="1"/>
  <c r="AB37" i="7" s="1"/>
  <c r="J36" i="7"/>
  <c r="K36" i="7" s="1"/>
  <c r="AB36" i="7" s="1"/>
  <c r="J35" i="7"/>
  <c r="K35" i="7" s="1"/>
  <c r="AB35" i="7" s="1"/>
  <c r="J34" i="7"/>
  <c r="K34" i="7" s="1"/>
  <c r="AB34" i="7" s="1"/>
  <c r="J33" i="7"/>
  <c r="K33" i="7" s="1"/>
  <c r="AB33" i="7" s="1"/>
  <c r="J32" i="7"/>
  <c r="K32" i="7" s="1"/>
  <c r="AB32" i="7" s="1"/>
  <c r="J31" i="7"/>
  <c r="K31" i="7" s="1"/>
  <c r="AB31" i="7" s="1"/>
  <c r="J30" i="7"/>
  <c r="K30" i="7" s="1"/>
  <c r="AB30" i="7" s="1"/>
  <c r="J29" i="7"/>
  <c r="K29" i="7" s="1"/>
  <c r="AB29" i="7" s="1"/>
  <c r="J28" i="7"/>
  <c r="K28" i="7" s="1"/>
  <c r="J27" i="7"/>
  <c r="K27" i="7" s="1"/>
  <c r="J26" i="7"/>
  <c r="K26" i="7" s="1"/>
  <c r="AB26" i="7" s="1"/>
  <c r="J25" i="7"/>
  <c r="K25" i="7" s="1"/>
  <c r="J24" i="7"/>
  <c r="K24" i="7" s="1"/>
  <c r="AB24" i="7" s="1"/>
  <c r="J23" i="7"/>
  <c r="K23" i="7" s="1"/>
  <c r="AB23" i="7" s="1"/>
  <c r="J22" i="7"/>
  <c r="K22" i="7" s="1"/>
  <c r="AB22" i="7" s="1"/>
  <c r="J21" i="7"/>
  <c r="K21" i="7" s="1"/>
  <c r="AB21" i="7" s="1"/>
  <c r="J20" i="7"/>
  <c r="K20" i="7" s="1"/>
  <c r="AB20" i="7" s="1"/>
  <c r="J19" i="7"/>
  <c r="K19" i="7" s="1"/>
  <c r="AB19" i="7" s="1"/>
  <c r="J18" i="7"/>
  <c r="K18" i="7" s="1"/>
  <c r="AB18" i="7" s="1"/>
  <c r="J17" i="7"/>
  <c r="K17" i="7" s="1"/>
  <c r="AB17" i="7" s="1"/>
  <c r="J16" i="7"/>
  <c r="K16" i="7" s="1"/>
  <c r="AB16" i="7" s="1"/>
  <c r="J15" i="7"/>
  <c r="K15" i="7" s="1"/>
  <c r="AB15" i="7" s="1"/>
  <c r="J14" i="7"/>
  <c r="K14" i="7" s="1"/>
  <c r="L14" i="7" s="1"/>
  <c r="M14" i="7" s="1"/>
  <c r="AQ14" i="7" s="1" a="1"/>
  <c r="AQ14" i="7" s="1"/>
  <c r="J13" i="7"/>
  <c r="K13" i="7" s="1"/>
  <c r="AB13" i="7" s="1"/>
  <c r="J12" i="7"/>
  <c r="K12" i="7" s="1"/>
  <c r="AB12" i="7" s="1"/>
  <c r="J11" i="7"/>
  <c r="K11" i="7" s="1"/>
  <c r="AB11" i="7" s="1"/>
  <c r="J10" i="7"/>
  <c r="K10" i="7" s="1"/>
  <c r="AB10" i="7" s="1"/>
  <c r="J9" i="7"/>
  <c r="K9" i="7" s="1"/>
  <c r="AB9" i="7" s="1"/>
  <c r="J8" i="7"/>
  <c r="K7" i="7"/>
  <c r="J6" i="7"/>
  <c r="K6" i="7" s="1"/>
  <c r="B7" i="7"/>
  <c r="B8" i="7" s="1"/>
  <c r="B9" i="7" s="1"/>
  <c r="B10" i="7" s="1"/>
  <c r="B11" i="7" s="1"/>
  <c r="B12" i="7" s="1"/>
  <c r="B13" i="7" s="1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N41" i="7"/>
  <c r="I41" i="7"/>
  <c r="P6" i="7" l="1"/>
  <c r="AB6" i="7"/>
  <c r="Q81" i="9"/>
  <c r="E81" i="9"/>
  <c r="O21" i="8" s="1"/>
  <c r="AA11" i="8"/>
  <c r="V107" i="1"/>
  <c r="V27" i="1"/>
  <c r="AA31" i="8"/>
  <c r="AA21" i="8"/>
  <c r="S64" i="9"/>
  <c r="AN14" i="7" a="1"/>
  <c r="AN14" i="7" s="1"/>
  <c r="AK14" i="7" a="1"/>
  <c r="AK14" i="7" s="1"/>
  <c r="AI14" i="7" a="1"/>
  <c r="AI14" i="7" s="1"/>
  <c r="AO14" i="7" a="1"/>
  <c r="AO14" i="7" s="1"/>
  <c r="AL14" i="7" a="1"/>
  <c r="AL14" i="7" s="1"/>
  <c r="AE14" i="7" a="1"/>
  <c r="AE14" i="7" s="1"/>
  <c r="AM14" i="7" a="1"/>
  <c r="AM14" i="7" s="1"/>
  <c r="AH14" i="7" a="1"/>
  <c r="AH14" i="7" s="1"/>
  <c r="AJ14" i="7" a="1"/>
  <c r="AJ14" i="7" s="1"/>
  <c r="AP14" i="7" a="1"/>
  <c r="AP14" i="7" s="1"/>
  <c r="AG14" i="7" a="1"/>
  <c r="AG14" i="7" s="1"/>
  <c r="AF14" i="7" a="1"/>
  <c r="AF14" i="7" s="1"/>
  <c r="V21" i="7"/>
  <c r="Q21" i="7"/>
  <c r="Y21" i="7"/>
  <c r="T21" i="7"/>
  <c r="P21" i="7"/>
  <c r="W21" i="7"/>
  <c r="U21" i="7"/>
  <c r="R21" i="7"/>
  <c r="Z21" i="7"/>
  <c r="X21" i="7"/>
  <c r="S21" i="7"/>
  <c r="AA21" i="7"/>
  <c r="S6" i="7"/>
  <c r="AA6" i="7"/>
  <c r="V6" i="7"/>
  <c r="X6" i="7"/>
  <c r="Q6" i="7"/>
  <c r="Y6" i="7"/>
  <c r="R6" i="7"/>
  <c r="T6" i="7"/>
  <c r="W6" i="7"/>
  <c r="Z6" i="7"/>
  <c r="U6" i="7"/>
  <c r="AA38" i="7"/>
  <c r="Y38" i="7"/>
  <c r="Z38" i="7"/>
  <c r="W38" i="7"/>
  <c r="X38" i="7"/>
  <c r="X15" i="7"/>
  <c r="S15" i="7"/>
  <c r="AA15" i="7"/>
  <c r="V15" i="7"/>
  <c r="P15" i="7"/>
  <c r="Q15" i="7"/>
  <c r="Y15" i="7"/>
  <c r="W15" i="7"/>
  <c r="T15" i="7"/>
  <c r="R15" i="7"/>
  <c r="Z15" i="7"/>
  <c r="U15" i="7"/>
  <c r="X31" i="7"/>
  <c r="S31" i="7"/>
  <c r="AA31" i="7"/>
  <c r="V31" i="7"/>
  <c r="Y31" i="7"/>
  <c r="W31" i="7"/>
  <c r="T31" i="7"/>
  <c r="U31" i="7"/>
  <c r="Z31" i="7"/>
  <c r="R17" i="7"/>
  <c r="Z17" i="7"/>
  <c r="U17" i="7"/>
  <c r="X17" i="7"/>
  <c r="S17" i="7"/>
  <c r="AA17" i="7"/>
  <c r="V17" i="7"/>
  <c r="Q17" i="7"/>
  <c r="Y17" i="7"/>
  <c r="W17" i="7"/>
  <c r="T17" i="7"/>
  <c r="P17" i="7"/>
  <c r="R25" i="7"/>
  <c r="U25" i="7"/>
  <c r="S25" i="7"/>
  <c r="Q25" i="7"/>
  <c r="T25" i="7"/>
  <c r="P25" i="7"/>
  <c r="Z33" i="7"/>
  <c r="U33" i="7"/>
  <c r="X33" i="7"/>
  <c r="AA33" i="7"/>
  <c r="Y33" i="7"/>
  <c r="V33" i="7"/>
  <c r="T33" i="7"/>
  <c r="W33" i="7"/>
  <c r="Q12" i="7"/>
  <c r="Y12" i="7"/>
  <c r="T12" i="7"/>
  <c r="P12" i="7"/>
  <c r="X12" i="7"/>
  <c r="W12" i="7"/>
  <c r="R12" i="7"/>
  <c r="Z12" i="7"/>
  <c r="U12" i="7"/>
  <c r="S12" i="7"/>
  <c r="AA12" i="7"/>
  <c r="V12" i="7"/>
  <c r="Y36" i="7"/>
  <c r="X36" i="7"/>
  <c r="V36" i="7"/>
  <c r="W36" i="7"/>
  <c r="Z36" i="7"/>
  <c r="U36" i="7"/>
  <c r="AA36" i="7"/>
  <c r="V13" i="7"/>
  <c r="Q13" i="7"/>
  <c r="Y13" i="7"/>
  <c r="U13" i="7"/>
  <c r="AA13" i="7"/>
  <c r="T13" i="7"/>
  <c r="P13" i="7"/>
  <c r="W13" i="7"/>
  <c r="R13" i="7"/>
  <c r="Z13" i="7"/>
  <c r="X13" i="7"/>
  <c r="S13" i="7"/>
  <c r="V29" i="7"/>
  <c r="AA29" i="7"/>
  <c r="Q29" i="7"/>
  <c r="Y29" i="7"/>
  <c r="T29" i="7"/>
  <c r="P29" i="7"/>
  <c r="U29" i="7"/>
  <c r="W29" i="7"/>
  <c r="R29" i="7"/>
  <c r="Z29" i="7"/>
  <c r="X29" i="7"/>
  <c r="S29" i="7"/>
  <c r="S30" i="7"/>
  <c r="AA30" i="7"/>
  <c r="V30" i="7"/>
  <c r="R30" i="7"/>
  <c r="X30" i="7"/>
  <c r="Q30" i="7"/>
  <c r="Y30" i="7"/>
  <c r="T30" i="7"/>
  <c r="P30" i="7"/>
  <c r="Z30" i="7"/>
  <c r="W30" i="7"/>
  <c r="U30" i="7"/>
  <c r="W10" i="7"/>
  <c r="R10" i="7"/>
  <c r="Z10" i="7"/>
  <c r="U10" i="7"/>
  <c r="V10" i="7"/>
  <c r="X10" i="7"/>
  <c r="AA10" i="7"/>
  <c r="S10" i="7"/>
  <c r="P10" i="7"/>
  <c r="Q10" i="7"/>
  <c r="Y10" i="7"/>
  <c r="T10" i="7"/>
  <c r="W18" i="7"/>
  <c r="R18" i="7"/>
  <c r="Z18" i="7"/>
  <c r="U18" i="7"/>
  <c r="AA18" i="7"/>
  <c r="X18" i="7"/>
  <c r="V18" i="7"/>
  <c r="S18" i="7"/>
  <c r="Q18" i="7"/>
  <c r="Y18" i="7"/>
  <c r="T18" i="7"/>
  <c r="P18" i="7"/>
  <c r="W26" i="7"/>
  <c r="P26" i="7"/>
  <c r="R26" i="7"/>
  <c r="Z26" i="7"/>
  <c r="V26" i="7"/>
  <c r="U26" i="7"/>
  <c r="AA26" i="7"/>
  <c r="X26" i="7"/>
  <c r="S26" i="7"/>
  <c r="Q26" i="7"/>
  <c r="Y26" i="7"/>
  <c r="T26" i="7"/>
  <c r="W34" i="7"/>
  <c r="Z34" i="7"/>
  <c r="U34" i="7"/>
  <c r="X34" i="7"/>
  <c r="V34" i="7"/>
  <c r="AA34" i="7"/>
  <c r="Y34" i="7"/>
  <c r="Q20" i="7"/>
  <c r="Y20" i="7"/>
  <c r="T20" i="7"/>
  <c r="P20" i="7"/>
  <c r="V20" i="7"/>
  <c r="W20" i="7"/>
  <c r="R20" i="7"/>
  <c r="Z20" i="7"/>
  <c r="X20" i="7"/>
  <c r="U20" i="7"/>
  <c r="S20" i="7"/>
  <c r="AA20" i="7"/>
  <c r="Q28" i="7"/>
  <c r="T28" i="7"/>
  <c r="P28" i="7"/>
  <c r="W28" i="7"/>
  <c r="R28" i="7"/>
  <c r="U28" i="7"/>
  <c r="X28" i="7"/>
  <c r="S28" i="7"/>
  <c r="V28" i="7"/>
  <c r="V37" i="7"/>
  <c r="Y37" i="7"/>
  <c r="AA37" i="7"/>
  <c r="W37" i="7"/>
  <c r="Z37" i="7"/>
  <c r="X37" i="7"/>
  <c r="S22" i="7"/>
  <c r="AA22" i="7"/>
  <c r="V22" i="7"/>
  <c r="Q22" i="7"/>
  <c r="Y22" i="7"/>
  <c r="P22" i="7"/>
  <c r="T22" i="7"/>
  <c r="R22" i="7"/>
  <c r="W22" i="7"/>
  <c r="Z22" i="7"/>
  <c r="X22" i="7"/>
  <c r="U22" i="7"/>
  <c r="X23" i="7"/>
  <c r="S23" i="7"/>
  <c r="AA23" i="7"/>
  <c r="W23" i="7"/>
  <c r="V23" i="7"/>
  <c r="Q23" i="7"/>
  <c r="Y23" i="7"/>
  <c r="T23" i="7"/>
  <c r="P23" i="7"/>
  <c r="R23" i="7"/>
  <c r="Z23" i="7"/>
  <c r="U23" i="7"/>
  <c r="X39" i="7"/>
  <c r="AA39" i="7"/>
  <c r="Y39" i="7"/>
  <c r="W39" i="7"/>
  <c r="Z39" i="7"/>
  <c r="U16" i="7"/>
  <c r="X16" i="7"/>
  <c r="P16" i="7"/>
  <c r="Z16" i="7"/>
  <c r="S16" i="7"/>
  <c r="AA16" i="7"/>
  <c r="T16" i="7"/>
  <c r="V16" i="7"/>
  <c r="Q16" i="7"/>
  <c r="Y16" i="7"/>
  <c r="W16" i="7"/>
  <c r="R16" i="7"/>
  <c r="U24" i="7"/>
  <c r="X24" i="7"/>
  <c r="T24" i="7"/>
  <c r="P24" i="7"/>
  <c r="S24" i="7"/>
  <c r="AA24" i="7"/>
  <c r="V24" i="7"/>
  <c r="Q24" i="7"/>
  <c r="Y24" i="7"/>
  <c r="W24" i="7"/>
  <c r="R24" i="7"/>
  <c r="Z24" i="7"/>
  <c r="U32" i="7"/>
  <c r="Z32" i="7"/>
  <c r="X32" i="7"/>
  <c r="S32" i="7"/>
  <c r="AA32" i="7"/>
  <c r="V32" i="7"/>
  <c r="T32" i="7"/>
  <c r="Y32" i="7"/>
  <c r="W32" i="7"/>
  <c r="AA40" i="7"/>
  <c r="Y40" i="7"/>
  <c r="Z40" i="7"/>
  <c r="R9" i="7"/>
  <c r="Z9" i="7"/>
  <c r="U9" i="7"/>
  <c r="X9" i="7"/>
  <c r="Q9" i="7"/>
  <c r="S9" i="7"/>
  <c r="AA9" i="7"/>
  <c r="Y9" i="7"/>
  <c r="V9" i="7"/>
  <c r="T9" i="7"/>
  <c r="P9" i="7"/>
  <c r="W9" i="7"/>
  <c r="T11" i="7"/>
  <c r="P11" i="7"/>
  <c r="Y11" i="7"/>
  <c r="W11" i="7"/>
  <c r="AA11" i="7"/>
  <c r="R11" i="7"/>
  <c r="Z11" i="7"/>
  <c r="U11" i="7"/>
  <c r="S11" i="7"/>
  <c r="X11" i="7"/>
  <c r="V11" i="7"/>
  <c r="Q11" i="7"/>
  <c r="T19" i="7"/>
  <c r="P19" i="7"/>
  <c r="W19" i="7"/>
  <c r="S19" i="7"/>
  <c r="Y19" i="7"/>
  <c r="R19" i="7"/>
  <c r="Z19" i="7"/>
  <c r="U19" i="7"/>
  <c r="AA19" i="7"/>
  <c r="X19" i="7"/>
  <c r="V19" i="7"/>
  <c r="Q19" i="7"/>
  <c r="P27" i="7"/>
  <c r="R27" i="7"/>
  <c r="Q27" i="7"/>
  <c r="W35" i="7"/>
  <c r="Z35" i="7"/>
  <c r="U35" i="7"/>
  <c r="AA35" i="7"/>
  <c r="X35" i="7"/>
  <c r="V35" i="7"/>
  <c r="Y35" i="7"/>
  <c r="L13" i="7"/>
  <c r="M13" i="7" s="1"/>
  <c r="L21" i="7"/>
  <c r="M21" i="7" s="1"/>
  <c r="L29" i="7"/>
  <c r="M29" i="7" s="1"/>
  <c r="L12" i="7"/>
  <c r="M12" i="7" s="1"/>
  <c r="L15" i="7"/>
  <c r="M15" i="7" s="1"/>
  <c r="L23" i="7"/>
  <c r="M23" i="7" s="1"/>
  <c r="L16" i="7"/>
  <c r="M16" i="7" s="1"/>
  <c r="L24" i="7"/>
  <c r="M24" i="7" s="1"/>
  <c r="L22" i="7"/>
  <c r="M22" i="7" s="1"/>
  <c r="L9" i="7"/>
  <c r="M9" i="7" s="1"/>
  <c r="L25" i="7"/>
  <c r="M25" i="7" s="1"/>
  <c r="L33" i="7"/>
  <c r="M33" i="7" s="1"/>
  <c r="L10" i="7"/>
  <c r="M10" i="7" s="1"/>
  <c r="L18" i="7"/>
  <c r="M18" i="7" s="1"/>
  <c r="L26" i="7"/>
  <c r="M26" i="7" s="1"/>
  <c r="L34" i="7"/>
  <c r="M34" i="7" s="1"/>
  <c r="L28" i="7"/>
  <c r="M28" i="7" s="1"/>
  <c r="L11" i="7"/>
  <c r="M11" i="7" s="1"/>
  <c r="L19" i="7"/>
  <c r="M19" i="7" s="1"/>
  <c r="U8" i="8"/>
  <c r="O8" i="8"/>
  <c r="Z8" i="8"/>
  <c r="Y8" i="8"/>
  <c r="T8" i="8"/>
  <c r="P8" i="8"/>
  <c r="W8" i="8"/>
  <c r="S8" i="8"/>
  <c r="X8" i="8"/>
  <c r="R8" i="8"/>
  <c r="Q8" i="8"/>
  <c r="V8" i="8"/>
  <c r="Z7" i="8"/>
  <c r="X7" i="8"/>
  <c r="U7" i="8"/>
  <c r="T7" i="8"/>
  <c r="Q7" i="8"/>
  <c r="Y7" i="8"/>
  <c r="W7" i="8"/>
  <c r="V7" i="8"/>
  <c r="S7" i="8"/>
  <c r="R7" i="8"/>
  <c r="O7" i="8"/>
  <c r="P7" i="8"/>
  <c r="U9" i="8"/>
  <c r="R9" i="8"/>
  <c r="Q9" i="8"/>
  <c r="P9" i="8"/>
  <c r="O9" i="8"/>
  <c r="V9" i="8"/>
  <c r="S9" i="8"/>
  <c r="Z9" i="8"/>
  <c r="X9" i="8"/>
  <c r="Y9" i="8"/>
  <c r="W9" i="8"/>
  <c r="T9" i="8"/>
  <c r="M18" i="8"/>
  <c r="S16" i="8"/>
  <c r="S18" i="8" s="1"/>
  <c r="V16" i="8"/>
  <c r="V18" i="8" s="1"/>
  <c r="T16" i="8"/>
  <c r="T18" i="8" s="1"/>
  <c r="R16" i="8"/>
  <c r="R18" i="8" s="1"/>
  <c r="W16" i="8"/>
  <c r="W18" i="8" s="1"/>
  <c r="Q16" i="8"/>
  <c r="Q18" i="8" s="1"/>
  <c r="O16" i="8"/>
  <c r="O18" i="8" s="1"/>
  <c r="P16" i="8"/>
  <c r="P18" i="8" s="1"/>
  <c r="X16" i="8"/>
  <c r="X18" i="8" s="1"/>
  <c r="Z16" i="8"/>
  <c r="Z18" i="8" s="1"/>
  <c r="Y16" i="8"/>
  <c r="Y18" i="8" s="1"/>
  <c r="U16" i="8"/>
  <c r="U18" i="8" s="1"/>
  <c r="S12" i="9"/>
  <c r="S76" i="9"/>
  <c r="S35" i="9"/>
  <c r="S13" i="9"/>
  <c r="S78" i="9"/>
  <c r="S7" i="9"/>
  <c r="S14" i="9"/>
  <c r="S27" i="9"/>
  <c r="S38" i="9"/>
  <c r="S33" i="9"/>
  <c r="S8" i="9"/>
  <c r="S41" i="9"/>
  <c r="S79" i="9"/>
  <c r="S45" i="9"/>
  <c r="S29" i="9"/>
  <c r="S70" i="9"/>
  <c r="S73" i="9"/>
  <c r="S58" i="9"/>
  <c r="S77" i="9"/>
  <c r="S62" i="9"/>
  <c r="S68" i="9"/>
  <c r="S10" i="9"/>
  <c r="S44" i="9"/>
  <c r="S63" i="9"/>
  <c r="S71" i="9"/>
  <c r="S40" i="9"/>
  <c r="S11" i="9"/>
  <c r="S74" i="9"/>
  <c r="S61" i="9"/>
  <c r="S32" i="9"/>
  <c r="S65" i="9"/>
  <c r="S43" i="9"/>
  <c r="S15" i="9"/>
  <c r="S60" i="9"/>
  <c r="S30" i="9"/>
  <c r="S39" i="9"/>
  <c r="S66" i="9"/>
  <c r="S36" i="9"/>
  <c r="S69" i="9"/>
  <c r="S72" i="9"/>
  <c r="S9" i="9"/>
  <c r="S42" i="9"/>
  <c r="S28" i="9"/>
  <c r="S75" i="9"/>
  <c r="S31" i="9"/>
  <c r="M11" i="8"/>
  <c r="S46" i="9"/>
  <c r="S6" i="9"/>
  <c r="S48" i="9"/>
  <c r="S17" i="9"/>
  <c r="S19" i="9"/>
  <c r="S22" i="9"/>
  <c r="S57" i="9"/>
  <c r="S80" i="9"/>
  <c r="S50" i="9"/>
  <c r="S21" i="9"/>
  <c r="S56" i="9"/>
  <c r="S25" i="9"/>
  <c r="S18" i="9"/>
  <c r="S51" i="9"/>
  <c r="S55" i="9"/>
  <c r="S16" i="9"/>
  <c r="S49" i="9"/>
  <c r="S20" i="9"/>
  <c r="S53" i="9"/>
  <c r="S54" i="9"/>
  <c r="S23" i="9"/>
  <c r="S24" i="9"/>
  <c r="S52" i="9"/>
  <c r="S47" i="9"/>
  <c r="S34" i="9"/>
  <c r="S26" i="9"/>
  <c r="S67" i="9"/>
  <c r="R84" i="9"/>
  <c r="S59" i="9"/>
  <c r="S37" i="9"/>
  <c r="P81" i="9"/>
  <c r="Z21" i="8" s="1"/>
  <c r="R81" i="9"/>
  <c r="G81" i="9"/>
  <c r="Q21" i="8" s="1"/>
  <c r="N81" i="9"/>
  <c r="X21" i="8" s="1"/>
  <c r="K81" i="9"/>
  <c r="U21" i="8" s="1"/>
  <c r="I81" i="9"/>
  <c r="S21" i="8" s="1"/>
  <c r="H81" i="9"/>
  <c r="R21" i="8" s="1"/>
  <c r="F81" i="9"/>
  <c r="P21" i="8" s="1"/>
  <c r="M81" i="9"/>
  <c r="W21" i="8" s="1"/>
  <c r="L81" i="9"/>
  <c r="V21" i="8" s="1"/>
  <c r="J81" i="9"/>
  <c r="T21" i="8" s="1"/>
  <c r="O81" i="9"/>
  <c r="Y21" i="8" s="1"/>
  <c r="M36" i="8"/>
  <c r="L27" i="7"/>
  <c r="M27" i="7" s="1"/>
  <c r="L31" i="7"/>
  <c r="M31" i="7" s="1"/>
  <c r="L7" i="7"/>
  <c r="M7" i="7" s="1"/>
  <c r="AQ7" i="7" s="1" a="1"/>
  <c r="AQ7" i="7" s="1"/>
  <c r="L35" i="7"/>
  <c r="M35" i="7" s="1"/>
  <c r="L37" i="7"/>
  <c r="M37" i="7" s="1"/>
  <c r="L40" i="7"/>
  <c r="M40" i="7" s="1"/>
  <c r="L30" i="7"/>
  <c r="M30" i="7" s="1"/>
  <c r="L32" i="7"/>
  <c r="M32" i="7" s="1"/>
  <c r="L36" i="7"/>
  <c r="M36" i="7" s="1"/>
  <c r="L38" i="7"/>
  <c r="M38" i="7" s="1"/>
  <c r="L20" i="7"/>
  <c r="M20" i="7" s="1"/>
  <c r="L6" i="7"/>
  <c r="M6" i="7" s="1"/>
  <c r="L17" i="7"/>
  <c r="M17" i="7" s="1"/>
  <c r="L39" i="7"/>
  <c r="M39" i="7" s="1"/>
  <c r="M28" i="8"/>
  <c r="J28" i="8"/>
  <c r="J18" i="8"/>
  <c r="J41" i="7"/>
  <c r="K8" i="7"/>
  <c r="AB8" i="7" s="1"/>
  <c r="U7" i="1"/>
  <c r="T7" i="1"/>
  <c r="S7" i="1"/>
  <c r="S152" i="1" s="1"/>
  <c r="R7" i="1"/>
  <c r="Q7" i="1"/>
  <c r="Q152" i="1" s="1"/>
  <c r="P7" i="1"/>
  <c r="O7" i="1"/>
  <c r="N7" i="1"/>
  <c r="M7" i="1"/>
  <c r="L7" i="1"/>
  <c r="L152" i="1" s="1"/>
  <c r="K7" i="1"/>
  <c r="J7" i="1"/>
  <c r="AQ35" i="7" l="1" a="1"/>
  <c r="AQ35" i="7" s="1"/>
  <c r="AQ27" i="7" a="1"/>
  <c r="AQ27" i="7" s="1"/>
  <c r="AQ19" i="7" a="1"/>
  <c r="AQ19" i="7" s="1"/>
  <c r="AQ11" i="7" a="1"/>
  <c r="AQ11" i="7" s="1"/>
  <c r="AQ9" i="7" a="1"/>
  <c r="AQ9" i="7" s="1"/>
  <c r="AQ40" i="7" a="1"/>
  <c r="AQ40" i="7" s="1"/>
  <c r="AQ32" i="7" a="1"/>
  <c r="AQ32" i="7" s="1"/>
  <c r="AQ24" i="7" a="1"/>
  <c r="AQ24" i="7" s="1"/>
  <c r="AQ16" i="7" a="1"/>
  <c r="AQ16" i="7" s="1"/>
  <c r="AQ39" i="7" a="1"/>
  <c r="AQ39" i="7" s="1"/>
  <c r="AQ23" i="7" a="1"/>
  <c r="AQ23" i="7" s="1"/>
  <c r="AQ22" i="7" a="1"/>
  <c r="AQ22" i="7" s="1"/>
  <c r="AQ37" i="7" a="1"/>
  <c r="AQ37" i="7" s="1"/>
  <c r="AQ28" i="7" a="1"/>
  <c r="AQ28" i="7" s="1"/>
  <c r="AQ20" i="7" a="1"/>
  <c r="AQ20" i="7" s="1"/>
  <c r="AQ34" i="7" a="1"/>
  <c r="AQ34" i="7" s="1"/>
  <c r="AQ26" i="7" a="1"/>
  <c r="AQ26" i="7" s="1"/>
  <c r="AQ18" i="7" a="1"/>
  <c r="AQ18" i="7" s="1"/>
  <c r="AQ10" i="7" a="1"/>
  <c r="AQ10" i="7" s="1"/>
  <c r="AQ30" i="7" a="1"/>
  <c r="AQ30" i="7" s="1"/>
  <c r="AQ29" i="7" a="1"/>
  <c r="AQ29" i="7" s="1"/>
  <c r="AQ13" i="7" a="1"/>
  <c r="AQ13" i="7" s="1"/>
  <c r="AQ36" i="7" a="1"/>
  <c r="AQ36" i="7" s="1"/>
  <c r="AQ12" i="7" a="1"/>
  <c r="AQ12" i="7" s="1"/>
  <c r="AQ33" i="7" a="1"/>
  <c r="AQ33" i="7" s="1"/>
  <c r="AQ25" i="7" a="1"/>
  <c r="AQ25" i="7" s="1"/>
  <c r="AQ17" i="7" a="1"/>
  <c r="AQ17" i="7" s="1"/>
  <c r="AQ31" i="7" a="1"/>
  <c r="AQ31" i="7" s="1"/>
  <c r="AQ15" i="7" a="1"/>
  <c r="AQ15" i="7" s="1"/>
  <c r="AQ38" i="7" a="1"/>
  <c r="AQ38" i="7" s="1"/>
  <c r="AQ21" i="7" a="1"/>
  <c r="AQ21" i="7" s="1"/>
  <c r="V25" i="1"/>
  <c r="V83" i="1" s="1"/>
  <c r="V85" i="1" s="1"/>
  <c r="AB41" i="7"/>
  <c r="AQ6" i="7" a="1"/>
  <c r="AQ6" i="7" s="1"/>
  <c r="J152" i="1"/>
  <c r="J47" i="1"/>
  <c r="R152" i="1"/>
  <c r="M152" i="1"/>
  <c r="T152" i="1"/>
  <c r="AA26" i="8"/>
  <c r="AA24" i="8"/>
  <c r="AA25" i="8"/>
  <c r="AA23" i="8"/>
  <c r="AA28" i="8" s="1"/>
  <c r="AA34" i="8"/>
  <c r="AA33" i="8"/>
  <c r="AA36" i="8" s="1"/>
  <c r="V29" i="1" s="1"/>
  <c r="T107" i="1"/>
  <c r="T27" i="1"/>
  <c r="M107" i="1"/>
  <c r="M27" i="1"/>
  <c r="L107" i="1"/>
  <c r="L27" i="1"/>
  <c r="P107" i="1"/>
  <c r="P27" i="1"/>
  <c r="N107" i="1"/>
  <c r="N27" i="1"/>
  <c r="S107" i="1"/>
  <c r="S27" i="1"/>
  <c r="O107" i="1"/>
  <c r="O27" i="1"/>
  <c r="J107" i="1"/>
  <c r="J27" i="1"/>
  <c r="U107" i="1"/>
  <c r="U27" i="1"/>
  <c r="K107" i="1"/>
  <c r="K27" i="1"/>
  <c r="R107" i="1"/>
  <c r="R27" i="1"/>
  <c r="Q107" i="1"/>
  <c r="Q27" i="1"/>
  <c r="N152" i="1"/>
  <c r="O152" i="1"/>
  <c r="P152" i="1"/>
  <c r="U152" i="1"/>
  <c r="K152" i="1"/>
  <c r="AG16" i="7" a="1"/>
  <c r="AG16" i="7" s="1"/>
  <c r="AJ23" i="7" a="1"/>
  <c r="AJ23" i="7" s="1"/>
  <c r="AM22" i="7" a="1"/>
  <c r="AM22" i="7" s="1"/>
  <c r="AI10" i="7" a="1"/>
  <c r="AI10" i="7" s="1"/>
  <c r="AN34" i="7" a="1"/>
  <c r="AN34" i="7" s="1"/>
  <c r="AF19" i="7" a="1"/>
  <c r="AF19" i="7" s="1"/>
  <c r="AJ30" i="7" a="1"/>
  <c r="AJ30" i="7" s="1"/>
  <c r="AF11" i="7" a="1"/>
  <c r="AF11" i="7" s="1"/>
  <c r="AF26" i="7" a="1"/>
  <c r="AF26" i="7" s="1"/>
  <c r="AO33" i="7" a="1"/>
  <c r="AO33" i="7" s="1"/>
  <c r="AN37" i="7" a="1"/>
  <c r="AN37" i="7" s="1"/>
  <c r="AO31" i="7" a="1"/>
  <c r="AO31" i="7" s="1"/>
  <c r="AI13" i="7" a="1"/>
  <c r="AI13" i="7" s="1"/>
  <c r="AN10" i="7" a="1"/>
  <c r="AN10" i="7" s="1"/>
  <c r="AI32" i="7" a="1"/>
  <c r="AI32" i="7" s="1"/>
  <c r="AL15" i="7" a="1"/>
  <c r="AL15" i="7" s="1"/>
  <c r="AP35" i="7" a="1"/>
  <c r="AP35" i="7" s="1"/>
  <c r="AI24" i="7" a="1"/>
  <c r="AI24" i="7" s="1"/>
  <c r="AJ22" i="7" a="1"/>
  <c r="AJ22" i="7" s="1"/>
  <c r="AG20" i="7" a="1"/>
  <c r="AG20" i="7" s="1"/>
  <c r="AM18" i="7" a="1"/>
  <c r="AM18" i="7" s="1"/>
  <c r="AO29" i="7" a="1"/>
  <c r="AO29" i="7" s="1"/>
  <c r="AJ12" i="7" a="1"/>
  <c r="AJ12" i="7" s="1"/>
  <c r="AJ17" i="7" a="1"/>
  <c r="AJ17" i="7" s="1"/>
  <c r="AI6" i="7" a="1"/>
  <c r="AI6" i="7" s="1"/>
  <c r="AI9" i="7" a="1"/>
  <c r="AI9" i="7" s="1"/>
  <c r="AG29" i="7" a="1"/>
  <c r="AG29" i="7" s="1"/>
  <c r="AG17" i="7" a="1"/>
  <c r="AG17" i="7" s="1"/>
  <c r="AL22" i="7" a="1"/>
  <c r="AL22" i="7" s="1"/>
  <c r="AI20" i="7" a="1"/>
  <c r="AI20" i="7" s="1"/>
  <c r="AN20" i="7" a="1"/>
  <c r="AN20" i="7" s="1"/>
  <c r="AN22" i="7" a="1"/>
  <c r="AN22" i="7" s="1"/>
  <c r="AH6" i="7" a="1"/>
  <c r="AH6" i="7" s="1"/>
  <c r="AK22" i="7" a="1"/>
  <c r="AK22" i="7" s="1"/>
  <c r="AK29" i="7" a="1"/>
  <c r="AK29" i="7" s="1"/>
  <c r="AP21" i="7" a="1"/>
  <c r="AP21" i="7" s="1"/>
  <c r="AP19" i="7" a="1"/>
  <c r="AP19" i="7" s="1"/>
  <c r="AG9" i="7" a="1"/>
  <c r="AG9" i="7" s="1"/>
  <c r="AH16" i="7" a="1"/>
  <c r="AH16" i="7" s="1"/>
  <c r="AP22" i="7" a="1"/>
  <c r="AP22" i="7" s="1"/>
  <c r="AM34" i="7" a="1"/>
  <c r="AM34" i="7" s="1"/>
  <c r="AH10" i="7" a="1"/>
  <c r="AH10" i="7" s="1"/>
  <c r="AH13" i="7" a="1"/>
  <c r="AH13" i="7" s="1"/>
  <c r="AI33" i="7" a="1"/>
  <c r="AI33" i="7" s="1"/>
  <c r="AH33" i="7" a="1"/>
  <c r="AH33" i="7" s="1"/>
  <c r="AG33" i="7" a="1"/>
  <c r="AG33" i="7" s="1"/>
  <c r="AF33" i="7" a="1"/>
  <c r="AF33" i="7" s="1"/>
  <c r="AE33" i="7" a="1"/>
  <c r="AE33" i="7" s="1"/>
  <c r="AH31" i="7" a="1"/>
  <c r="AH31" i="7" s="1"/>
  <c r="AF31" i="7" a="1"/>
  <c r="AF31" i="7" s="1"/>
  <c r="AC31" i="7"/>
  <c r="AE31" i="7" a="1"/>
  <c r="AE31" i="7" s="1"/>
  <c r="AG31" i="7" a="1"/>
  <c r="AG31" i="7" s="1"/>
  <c r="AH21" i="7" a="1"/>
  <c r="AH21" i="7" s="1"/>
  <c r="AJ19" i="7" a="1"/>
  <c r="AJ19" i="7" s="1"/>
  <c r="AO40" i="7" a="1"/>
  <c r="AO40" i="7" s="1"/>
  <c r="AO16" i="7" a="1"/>
  <c r="AO16" i="7" s="1"/>
  <c r="AH22" i="7" a="1"/>
  <c r="AH22" i="7" s="1"/>
  <c r="AJ34" i="7" a="1"/>
  <c r="AJ34" i="7" s="1"/>
  <c r="AI34" i="7" a="1"/>
  <c r="AI34" i="7" s="1"/>
  <c r="AH34" i="7" a="1"/>
  <c r="AH34" i="7" s="1"/>
  <c r="AG34" i="7" a="1"/>
  <c r="AG34" i="7" s="1"/>
  <c r="AF34" i="7" a="1"/>
  <c r="AF34" i="7" s="1"/>
  <c r="AC34" i="7"/>
  <c r="AE34" i="7" a="1"/>
  <c r="AE34" i="7" s="1"/>
  <c r="AP10" i="7" a="1"/>
  <c r="AP10" i="7" s="1"/>
  <c r="AM13" i="7" a="1"/>
  <c r="AM13" i="7" s="1"/>
  <c r="AK33" i="7" a="1"/>
  <c r="AK33" i="7" s="1"/>
  <c r="AM31" i="7" a="1"/>
  <c r="AM31" i="7" s="1"/>
  <c r="AM21" i="7" a="1"/>
  <c r="AM21" i="7" s="1"/>
  <c r="AM24" i="7" a="1"/>
  <c r="AM24" i="7" s="1"/>
  <c r="AK20" i="7" a="1"/>
  <c r="AK20" i="7" s="1"/>
  <c r="AG22" i="7" a="1"/>
  <c r="AG22" i="7" s="1"/>
  <c r="AH9" i="7" a="1"/>
  <c r="AH9" i="7" s="1"/>
  <c r="AC27" i="7"/>
  <c r="AN29" i="7" a="1"/>
  <c r="AN29" i="7" s="1"/>
  <c r="AN31" i="7" a="1"/>
  <c r="AN31" i="7" s="1"/>
  <c r="AF10" i="7" a="1"/>
  <c r="AF10" i="7" s="1"/>
  <c r="AP16" i="7" a="1"/>
  <c r="AP16" i="7" s="1"/>
  <c r="AE10" i="7" a="1"/>
  <c r="AE10" i="7" s="1"/>
  <c r="AC10" i="7"/>
  <c r="AP31" i="7" a="1"/>
  <c r="AP31" i="7" s="1"/>
  <c r="AO19" i="7" a="1"/>
  <c r="AO19" i="7" s="1"/>
  <c r="AE16" i="7" a="1"/>
  <c r="AE16" i="7" s="1"/>
  <c r="AC16" i="7"/>
  <c r="AO34" i="7" a="1"/>
  <c r="AO34" i="7" s="1"/>
  <c r="AO13" i="7" a="1"/>
  <c r="AO13" i="7" s="1"/>
  <c r="AJ15" i="7" a="1"/>
  <c r="AJ15" i="7" s="1"/>
  <c r="AG19" i="7" a="1"/>
  <c r="AG19" i="7" s="1"/>
  <c r="AM16" i="7" a="1"/>
  <c r="AM16" i="7" s="1"/>
  <c r="AL34" i="7" a="1"/>
  <c r="AL34" i="7" s="1"/>
  <c r="AP33" i="7" a="1"/>
  <c r="AP33" i="7" s="1"/>
  <c r="AN19" i="7" a="1"/>
  <c r="AN19" i="7" s="1"/>
  <c r="AJ16" i="7" a="1"/>
  <c r="AJ16" i="7" s="1"/>
  <c r="AL37" i="7" a="1"/>
  <c r="AL37" i="7" s="1"/>
  <c r="AI26" i="7" a="1"/>
  <c r="AI26" i="7" s="1"/>
  <c r="AJ10" i="7" a="1"/>
  <c r="AJ10" i="7" s="1"/>
  <c r="AL13" i="7" a="1"/>
  <c r="AL13" i="7" s="1"/>
  <c r="AM33" i="7" a="1"/>
  <c r="AM33" i="7" s="1"/>
  <c r="AG15" i="7" a="1"/>
  <c r="AG15" i="7" s="1"/>
  <c r="AJ21" i="7" a="1"/>
  <c r="AJ21" i="7" s="1"/>
  <c r="AO17" i="7" a="1"/>
  <c r="AO17" i="7" s="1"/>
  <c r="AJ18" i="7" a="1"/>
  <c r="AJ18" i="7" s="1"/>
  <c r="AL12" i="7" a="1"/>
  <c r="AL12" i="7" s="1"/>
  <c r="AM12" i="7" a="1"/>
  <c r="AM12" i="7" s="1"/>
  <c r="AI31" i="7" a="1"/>
  <c r="AI31" i="7" s="1"/>
  <c r="AF29" i="7" a="1"/>
  <c r="AF29" i="7" s="1"/>
  <c r="AP34" i="7" a="1"/>
  <c r="AP34" i="7" s="1"/>
  <c r="AM19" i="7" a="1"/>
  <c r="AM19" i="7" s="1"/>
  <c r="AK34" i="7" a="1"/>
  <c r="AK34" i="7" s="1"/>
  <c r="AL33" i="7" a="1"/>
  <c r="AL33" i="7" s="1"/>
  <c r="AN40" i="7" a="1"/>
  <c r="AN40" i="7" s="1"/>
  <c r="AL40" i="7" a="1"/>
  <c r="AL40" i="7" s="1"/>
  <c r="AJ40" i="7" a="1"/>
  <c r="AJ40" i="7" s="1"/>
  <c r="AG40" i="7" a="1"/>
  <c r="AG40" i="7" s="1"/>
  <c r="AE40" i="7" a="1"/>
  <c r="AE40" i="7" s="1"/>
  <c r="AI40" i="7" a="1"/>
  <c r="AI40" i="7" s="1"/>
  <c r="AM40" i="7" a="1"/>
  <c r="AM40" i="7" s="1"/>
  <c r="AH40" i="7" a="1"/>
  <c r="AH40" i="7" s="1"/>
  <c r="AK40" i="7" a="1"/>
  <c r="AK40" i="7" s="1"/>
  <c r="AF40" i="7" a="1"/>
  <c r="AF40" i="7" s="1"/>
  <c r="AM37" i="7" a="1"/>
  <c r="AM37" i="7" s="1"/>
  <c r="AM10" i="7" a="1"/>
  <c r="AM10" i="7" s="1"/>
  <c r="AN33" i="7" a="1"/>
  <c r="AN33" i="7" s="1"/>
  <c r="AO21" i="7" a="1"/>
  <c r="AO21" i="7" s="1"/>
  <c r="AP40" i="7" a="1"/>
  <c r="AP40" i="7" s="1"/>
  <c r="AO37" i="7" a="1"/>
  <c r="AO37" i="7" s="1"/>
  <c r="AK10" i="7" a="1"/>
  <c r="AK10" i="7" s="1"/>
  <c r="AG13" i="7" a="1"/>
  <c r="AG13" i="7" s="1"/>
  <c r="AO15" i="7" a="1"/>
  <c r="AO15" i="7" s="1"/>
  <c r="AG21" i="7" a="1"/>
  <c r="AG21" i="7" s="1"/>
  <c r="AL32" i="7" a="1"/>
  <c r="AL32" i="7" s="1"/>
  <c r="AH19" i="7" a="1"/>
  <c r="AH19" i="7" s="1"/>
  <c r="AN32" i="7" a="1"/>
  <c r="AN32" i="7" s="1"/>
  <c r="AO39" i="7" a="1"/>
  <c r="AO39" i="7" s="1"/>
  <c r="AP37" i="7" a="1"/>
  <c r="AP37" i="7" s="1"/>
  <c r="AN26" i="7" a="1"/>
  <c r="AN26" i="7" s="1"/>
  <c r="AO10" i="7" a="1"/>
  <c r="AO10" i="7" s="1"/>
  <c r="AE13" i="7" a="1"/>
  <c r="AE13" i="7" s="1"/>
  <c r="AC13" i="7"/>
  <c r="AJ33" i="7" a="1"/>
  <c r="AJ33" i="7" s="1"/>
  <c r="AI15" i="7" a="1"/>
  <c r="AI15" i="7" s="1"/>
  <c r="AL21" i="7" a="1"/>
  <c r="AL21" i="7" s="1"/>
  <c r="AL29" i="7" a="1"/>
  <c r="AL29" i="7" s="1"/>
  <c r="AP9" i="7" a="1"/>
  <c r="AP9" i="7" s="1"/>
  <c r="AE22" i="7" a="1"/>
  <c r="AE22" i="7" s="1"/>
  <c r="AC22" i="7"/>
  <c r="AI16" i="7" a="1"/>
  <c r="AI16" i="7" s="1"/>
  <c r="AG10" i="7" a="1"/>
  <c r="AG10" i="7" s="1"/>
  <c r="AE25" i="7" a="1"/>
  <c r="AE25" i="7" s="1"/>
  <c r="AC25" i="7"/>
  <c r="AN25" i="7" a="1"/>
  <c r="AN25" i="7" s="1"/>
  <c r="AP25" i="7" a="1"/>
  <c r="AP25" i="7" s="1"/>
  <c r="AK25" i="7" a="1"/>
  <c r="AK25" i="7" s="1"/>
  <c r="AO25" i="7" a="1"/>
  <c r="AO25" i="7" s="1"/>
  <c r="AM25" i="7" a="1"/>
  <c r="AM25" i="7" s="1"/>
  <c r="AL25" i="7" a="1"/>
  <c r="AL25" i="7" s="1"/>
  <c r="AF15" i="7" a="1"/>
  <c r="AF15" i="7" s="1"/>
  <c r="AK11" i="7" a="1"/>
  <c r="AK11" i="7" s="1"/>
  <c r="AK15" i="7" a="1"/>
  <c r="AK15" i="7" s="1"/>
  <c r="AM11" i="7" a="1"/>
  <c r="AM11" i="7" s="1"/>
  <c r="AO32" i="7" a="1"/>
  <c r="AO32" i="7" s="1"/>
  <c r="AO23" i="7" a="1"/>
  <c r="AO23" i="7" s="1"/>
  <c r="AJ28" i="7" a="1"/>
  <c r="AJ28" i="7" s="1"/>
  <c r="AK26" i="7" a="1"/>
  <c r="AK26" i="7" s="1"/>
  <c r="AC30" i="7"/>
  <c r="AE30" i="7" a="1"/>
  <c r="AE30" i="7" s="1"/>
  <c r="AK13" i="7" a="1"/>
  <c r="AK13" i="7" s="1"/>
  <c r="AJ25" i="7" a="1"/>
  <c r="AJ25" i="7" s="1"/>
  <c r="AP15" i="7" a="1"/>
  <c r="AP15" i="7" s="1"/>
  <c r="AG6" i="7" a="1"/>
  <c r="AG6" i="7" s="1"/>
  <c r="AJ29" i="7" a="1"/>
  <c r="AJ29" i="7" s="1"/>
  <c r="AI29" i="7" a="1"/>
  <c r="AI29" i="7" s="1"/>
  <c r="AK16" i="7" a="1"/>
  <c r="AK16" i="7" s="1"/>
  <c r="AK37" i="7" a="1"/>
  <c r="AK37" i="7" s="1"/>
  <c r="AH37" i="7" a="1"/>
  <c r="AH37" i="7" s="1"/>
  <c r="AC37" i="7"/>
  <c r="AJ37" i="7" a="1"/>
  <c r="AJ37" i="7" s="1"/>
  <c r="AI37" i="7" a="1"/>
  <c r="AI37" i="7" s="1"/>
  <c r="AF37" i="7" a="1"/>
  <c r="AF37" i="7" s="1"/>
  <c r="AE37" i="7" a="1"/>
  <c r="AE37" i="7" s="1"/>
  <c r="AG37" i="7" a="1"/>
  <c r="AG37" i="7" s="1"/>
  <c r="AM26" i="7" a="1"/>
  <c r="AM26" i="7" s="1"/>
  <c r="AN13" i="7" a="1"/>
  <c r="AN13" i="7" s="1"/>
  <c r="AK21" i="7" a="1"/>
  <c r="AK21" i="7" s="1"/>
  <c r="AH11" i="7" a="1"/>
  <c r="AH11" i="7" s="1"/>
  <c r="AJ32" i="7" a="1"/>
  <c r="AJ32" i="7" s="1"/>
  <c r="AG23" i="7" a="1"/>
  <c r="AG23" i="7" s="1"/>
  <c r="AG28" i="7" a="1"/>
  <c r="AG28" i="7" s="1"/>
  <c r="AO26" i="7" a="1"/>
  <c r="AO26" i="7" s="1"/>
  <c r="AI30" i="7" a="1"/>
  <c r="AI30" i="7" s="1"/>
  <c r="AP36" i="7" a="1"/>
  <c r="AP36" i="7" s="1"/>
  <c r="AG25" i="7" a="1"/>
  <c r="AG25" i="7" s="1"/>
  <c r="AH15" i="7" a="1"/>
  <c r="AH15" i="7" s="1"/>
  <c r="AO22" i="7" a="1"/>
  <c r="AO22" i="7" s="1"/>
  <c r="AL31" i="7" a="1"/>
  <c r="AL31" i="7" s="1"/>
  <c r="AP29" i="7" a="1"/>
  <c r="AP29" i="7" s="1"/>
  <c r="AL39" i="7" a="1"/>
  <c r="AL39" i="7" s="1"/>
  <c r="AF39" i="7" a="1"/>
  <c r="AF39" i="7" s="1"/>
  <c r="AG39" i="7" a="1"/>
  <c r="AG39" i="7" s="1"/>
  <c r="AJ39" i="7" a="1"/>
  <c r="AJ39" i="7" s="1"/>
  <c r="AI39" i="7" a="1"/>
  <c r="AI39" i="7" s="1"/>
  <c r="AE39" i="7" a="1"/>
  <c r="AE39" i="7" s="1"/>
  <c r="AK39" i="7" a="1"/>
  <c r="AK39" i="7" s="1"/>
  <c r="AH39" i="7" a="1"/>
  <c r="AH39" i="7" s="1"/>
  <c r="AL10" i="7" a="1"/>
  <c r="AL10" i="7" s="1"/>
  <c r="AJ13" i="7" a="1"/>
  <c r="AJ13" i="7" s="1"/>
  <c r="AH28" i="7" a="1"/>
  <c r="AH28" i="7" s="1"/>
  <c r="AM28" i="7" a="1"/>
  <c r="AM28" i="7" s="1"/>
  <c r="AM15" i="7" a="1"/>
  <c r="AM15" i="7" s="1"/>
  <c r="AO11" i="7" a="1"/>
  <c r="AO11" i="7" s="1"/>
  <c r="AG24" i="7" a="1"/>
  <c r="AG24" i="7" s="1"/>
  <c r="AI23" i="7" a="1"/>
  <c r="AI23" i="7" s="1"/>
  <c r="AE28" i="7" a="1"/>
  <c r="AE28" i="7" s="1"/>
  <c r="AC28" i="7"/>
  <c r="AN28" i="7" a="1"/>
  <c r="AN28" i="7" s="1"/>
  <c r="AP28" i="7" a="1"/>
  <c r="AP28" i="7" s="1"/>
  <c r="AO28" i="7" a="1"/>
  <c r="AO28" i="7" s="1"/>
  <c r="AE26" i="7" a="1"/>
  <c r="AE26" i="7" s="1"/>
  <c r="AC26" i="7"/>
  <c r="AF30" i="7" a="1"/>
  <c r="AF30" i="7" s="1"/>
  <c r="AO36" i="7" a="1"/>
  <c r="AO36" i="7" s="1"/>
  <c r="AI17" i="7" a="1"/>
  <c r="AI17" i="7" s="1"/>
  <c r="AM38" i="7" a="1"/>
  <c r="AM38" i="7" s="1"/>
  <c r="AJ31" i="7" a="1"/>
  <c r="AJ31" i="7" s="1"/>
  <c r="AF16" i="7" a="1"/>
  <c r="AF16" i="7" s="1"/>
  <c r="AJ9" i="7" a="1"/>
  <c r="AJ9" i="7" s="1"/>
  <c r="AE19" i="7" a="1"/>
  <c r="AE19" i="7" s="1"/>
  <c r="AC19" i="7"/>
  <c r="AP26" i="7" a="1"/>
  <c r="AP26" i="7" s="1"/>
  <c r="AJ26" i="7" a="1"/>
  <c r="AJ26" i="7" s="1"/>
  <c r="AN30" i="7" a="1"/>
  <c r="AN30" i="7" s="1"/>
  <c r="AG11" i="7" a="1"/>
  <c r="AG11" i="7" s="1"/>
  <c r="AL24" i="7" a="1"/>
  <c r="AL24" i="7" s="1"/>
  <c r="AN23" i="7" a="1"/>
  <c r="AN23" i="7" s="1"/>
  <c r="AI28" i="7" a="1"/>
  <c r="AI28" i="7" s="1"/>
  <c r="AL26" i="7" a="1"/>
  <c r="AL26" i="7" s="1"/>
  <c r="AM30" i="7" a="1"/>
  <c r="AM30" i="7" s="1"/>
  <c r="AL36" i="7" a="1"/>
  <c r="AL36" i="7" s="1"/>
  <c r="AL17" i="7" a="1"/>
  <c r="AL17" i="7" s="1"/>
  <c r="AL38" i="7" a="1"/>
  <c r="AL38" i="7" s="1"/>
  <c r="AK38" i="7" a="1"/>
  <c r="AK38" i="7" s="1"/>
  <c r="AF38" i="7" a="1"/>
  <c r="AF38" i="7" s="1"/>
  <c r="AE38" i="7" a="1"/>
  <c r="AE38" i="7" s="1"/>
  <c r="AG38" i="7" a="1"/>
  <c r="AG38" i="7" s="1"/>
  <c r="AH38" i="7" a="1"/>
  <c r="AH38" i="7" s="1"/>
  <c r="AJ38" i="7" a="1"/>
  <c r="AJ38" i="7" s="1"/>
  <c r="AI38" i="7" a="1"/>
  <c r="AI38" i="7" s="1"/>
  <c r="AL35" i="7" a="1"/>
  <c r="AL35" i="7" s="1"/>
  <c r="AF6" i="7" a="1"/>
  <c r="AF6" i="7" s="1"/>
  <c r="AK6" i="7" a="1"/>
  <c r="AK6" i="7" s="1"/>
  <c r="AK19" i="7" a="1"/>
  <c r="AK19" i="7" s="1"/>
  <c r="AN39" i="7" a="1"/>
  <c r="AN39" i="7" s="1"/>
  <c r="AK28" i="7" a="1"/>
  <c r="AK28" i="7" s="1"/>
  <c r="AF25" i="7" a="1"/>
  <c r="AF25" i="7" s="1"/>
  <c r="AG26" i="7" a="1"/>
  <c r="AG26" i="7" s="1"/>
  <c r="AP11" i="7" a="1"/>
  <c r="AP11" i="7" s="1"/>
  <c r="AN24" i="7" a="1"/>
  <c r="AN24" i="7" s="1"/>
  <c r="AF23" i="7" a="1"/>
  <c r="AF23" i="7" s="1"/>
  <c r="AF28" i="7" a="1"/>
  <c r="AF28" i="7" s="1"/>
  <c r="AE18" i="7" a="1"/>
  <c r="AE18" i="7" s="1"/>
  <c r="AC18" i="7"/>
  <c r="AG30" i="7" a="1"/>
  <c r="AG30" i="7" s="1"/>
  <c r="AK36" i="7" a="1"/>
  <c r="AK36" i="7" s="1"/>
  <c r="AN17" i="7" a="1"/>
  <c r="AN17" i="7" s="1"/>
  <c r="AO38" i="7" a="1"/>
  <c r="AO38" i="7" s="1"/>
  <c r="AO35" i="7" a="1"/>
  <c r="AO35" i="7" s="1"/>
  <c r="AN6" i="7" a="1"/>
  <c r="AN6" i="7" s="1"/>
  <c r="AM6" i="7" a="1"/>
  <c r="AM6" i="7" s="1"/>
  <c r="AM9" i="7" a="1"/>
  <c r="AM9" i="7" s="1"/>
  <c r="AF22" i="7" a="1"/>
  <c r="AF22" i="7" s="1"/>
  <c r="AL19" i="7" a="1"/>
  <c r="AL19" i="7" s="1"/>
  <c r="AH26" i="7" a="1"/>
  <c r="AH26" i="7" s="1"/>
  <c r="AP32" i="7" a="1"/>
  <c r="AP32" i="7" s="1"/>
  <c r="AM39" i="7" a="1"/>
  <c r="AM39" i="7" s="1"/>
  <c r="AM32" i="7" a="1"/>
  <c r="AM32" i="7" s="1"/>
  <c r="AE23" i="7" a="1"/>
  <c r="AE23" i="7" s="1"/>
  <c r="AC23" i="7"/>
  <c r="AL11" i="7" a="1"/>
  <c r="AL11" i="7" s="1"/>
  <c r="AF24" i="7" a="1"/>
  <c r="AF24" i="7" s="1"/>
  <c r="AK23" i="7" a="1"/>
  <c r="AK23" i="7" s="1"/>
  <c r="AP20" i="7" a="1"/>
  <c r="AP20" i="7" s="1"/>
  <c r="AI18" i="7" a="1"/>
  <c r="AI18" i="7" s="1"/>
  <c r="AK30" i="7" a="1"/>
  <c r="AK30" i="7" s="1"/>
  <c r="AM36" i="7" a="1"/>
  <c r="AM36" i="7" s="1"/>
  <c r="AF17" i="7" a="1"/>
  <c r="AF17" i="7" s="1"/>
  <c r="AN38" i="7" a="1"/>
  <c r="AN38" i="7" s="1"/>
  <c r="AR14" i="7"/>
  <c r="AE9" i="7" a="1"/>
  <c r="AE9" i="7" s="1"/>
  <c r="AC9" i="7"/>
  <c r="AK9" i="7" a="1"/>
  <c r="AK9" i="7" s="1"/>
  <c r="AE20" i="7" a="1"/>
  <c r="AE20" i="7" s="1"/>
  <c r="AC20" i="7"/>
  <c r="AI22" i="7" a="1"/>
  <c r="AI22" i="7" s="1"/>
  <c r="AK32" i="7" a="1"/>
  <c r="AK32" i="7" s="1"/>
  <c r="AP39" i="7" a="1"/>
  <c r="AP39" i="7" s="1"/>
  <c r="AF21" i="7" a="1"/>
  <c r="AF21" i="7" s="1"/>
  <c r="AL28" i="7" a="1"/>
  <c r="AL28" i="7" s="1"/>
  <c r="AN11" i="7" a="1"/>
  <c r="AN11" i="7" s="1"/>
  <c r="AK24" i="7" a="1"/>
  <c r="AK24" i="7" s="1"/>
  <c r="AL23" i="7" a="1"/>
  <c r="AL23" i="7" s="1"/>
  <c r="AH20" i="7" a="1"/>
  <c r="AH20" i="7" s="1"/>
  <c r="AN18" i="7" a="1"/>
  <c r="AN18" i="7" s="1"/>
  <c r="AP30" i="7" a="1"/>
  <c r="AP30" i="7" s="1"/>
  <c r="AN36" i="7" a="1"/>
  <c r="AN36" i="7" s="1"/>
  <c r="AK17" i="7" a="1"/>
  <c r="AK17" i="7" s="1"/>
  <c r="AP38" i="7" a="1"/>
  <c r="AP38" i="7" s="1"/>
  <c r="AP18" i="7" a="1"/>
  <c r="AP18" i="7" s="1"/>
  <c r="AN9" i="7" a="1"/>
  <c r="AN9" i="7" s="1"/>
  <c r="AL16" i="7" a="1"/>
  <c r="AL16" i="7" s="1"/>
  <c r="AE12" i="7" a="1"/>
  <c r="AE12" i="7" s="1"/>
  <c r="AC12" i="7"/>
  <c r="AP6" i="7" a="1"/>
  <c r="AP6" i="7" s="1"/>
  <c r="AO9" i="7" a="1"/>
  <c r="AO9" i="7" s="1"/>
  <c r="AP13" i="7" a="1"/>
  <c r="AP13" i="7" s="1"/>
  <c r="AI19" i="7" a="1"/>
  <c r="AI19" i="7" s="1"/>
  <c r="AH25" i="7" a="1"/>
  <c r="AH25" i="7" s="1"/>
  <c r="AN35" i="7" a="1"/>
  <c r="AN35" i="7" s="1"/>
  <c r="AE11" i="7" a="1"/>
  <c r="AE11" i="7" s="1"/>
  <c r="AC11" i="7"/>
  <c r="AP24" i="7" a="1"/>
  <c r="AP24" i="7" s="1"/>
  <c r="AP23" i="7" a="1"/>
  <c r="AP23" i="7" s="1"/>
  <c r="AJ20" i="7" a="1"/>
  <c r="AJ20" i="7" s="1"/>
  <c r="AF18" i="7" a="1"/>
  <c r="AF18" i="7" s="1"/>
  <c r="AH30" i="7" a="1"/>
  <c r="AH30" i="7" s="1"/>
  <c r="AK12" i="7" a="1"/>
  <c r="AK12" i="7" s="1"/>
  <c r="AP17" i="7" a="1"/>
  <c r="AP17" i="7" s="1"/>
  <c r="AJ6" i="7" a="1"/>
  <c r="AJ6" i="7" s="1"/>
  <c r="AL20" i="7" a="1"/>
  <c r="AL20" i="7" s="1"/>
  <c r="AJ24" i="7" a="1"/>
  <c r="AJ24" i="7" s="1"/>
  <c r="AE6" i="7" a="1"/>
  <c r="AE6" i="7" s="1"/>
  <c r="AC6" i="7"/>
  <c r="AG18" i="7" a="1"/>
  <c r="AG18" i="7" s="1"/>
  <c r="AN16" i="7" a="1"/>
  <c r="AN16" i="7" s="1"/>
  <c r="AF9" i="7" a="1"/>
  <c r="AF9" i="7" s="1"/>
  <c r="AI12" i="7" a="1"/>
  <c r="AI12" i="7" s="1"/>
  <c r="AN12" i="7" a="1"/>
  <c r="AN12" i="7" s="1"/>
  <c r="AF12" i="7" a="1"/>
  <c r="AF12" i="7" s="1"/>
  <c r="AE21" i="7" a="1"/>
  <c r="AE21" i="7" s="1"/>
  <c r="AC21" i="7"/>
  <c r="AN15" i="7" a="1"/>
  <c r="AN15" i="7" s="1"/>
  <c r="AI25" i="7" a="1"/>
  <c r="AI25" i="7" s="1"/>
  <c r="AH32" i="7" a="1"/>
  <c r="AH32" i="7" s="1"/>
  <c r="AG32" i="7" a="1"/>
  <c r="AG32" i="7" s="1"/>
  <c r="AE32" i="7" a="1"/>
  <c r="AE32" i="7" s="1"/>
  <c r="AF32" i="7" a="1"/>
  <c r="AF32" i="7" s="1"/>
  <c r="AE15" i="7" a="1"/>
  <c r="AE15" i="7" s="1"/>
  <c r="AC15" i="7"/>
  <c r="AF13" i="7" a="1"/>
  <c r="AF13" i="7" s="1"/>
  <c r="AJ11" i="7" a="1"/>
  <c r="AJ11" i="7" s="1"/>
  <c r="AC36" i="7"/>
  <c r="AJ36" i="7" a="1"/>
  <c r="AJ36" i="7" s="1"/>
  <c r="AE36" i="7" a="1"/>
  <c r="AE36" i="7" s="1"/>
  <c r="AH36" i="7" a="1"/>
  <c r="AH36" i="7" s="1"/>
  <c r="AG36" i="7" a="1"/>
  <c r="AG36" i="7" s="1"/>
  <c r="AI36" i="7" a="1"/>
  <c r="AI36" i="7" s="1"/>
  <c r="AF36" i="7" a="1"/>
  <c r="AF36" i="7" s="1"/>
  <c r="AK35" i="7" a="1"/>
  <c r="AK35" i="7" s="1"/>
  <c r="AI11" i="7" a="1"/>
  <c r="AI11" i="7" s="1"/>
  <c r="AH24" i="7" a="1"/>
  <c r="AH24" i="7" s="1"/>
  <c r="AH23" i="7" a="1"/>
  <c r="AH23" i="7" s="1"/>
  <c r="AM20" i="7" a="1"/>
  <c r="AM20" i="7" s="1"/>
  <c r="AH18" i="7" a="1"/>
  <c r="AH18" i="7" s="1"/>
  <c r="AH29" i="7" a="1"/>
  <c r="AH29" i="7" s="1"/>
  <c r="AP12" i="7" a="1"/>
  <c r="AP12" i="7" s="1"/>
  <c r="AH17" i="7" a="1"/>
  <c r="AH17" i="7" s="1"/>
  <c r="AO6" i="7" a="1"/>
  <c r="AO6" i="7" s="1"/>
  <c r="AJ35" i="7" a="1"/>
  <c r="AJ35" i="7" s="1"/>
  <c r="AH35" i="7" a="1"/>
  <c r="AH35" i="7" s="1"/>
  <c r="AG35" i="7" a="1"/>
  <c r="AG35" i="7" s="1"/>
  <c r="AC35" i="7"/>
  <c r="AE35" i="7" a="1"/>
  <c r="AE35" i="7" s="1"/>
  <c r="AI35" i="7" a="1"/>
  <c r="AI35" i="7" s="1"/>
  <c r="AF35" i="7" a="1"/>
  <c r="AF35" i="7" s="1"/>
  <c r="AO12" i="7" a="1"/>
  <c r="AO12" i="7" s="1"/>
  <c r="AG12" i="7" a="1"/>
  <c r="AG12" i="7" s="1"/>
  <c r="AO18" i="7" a="1"/>
  <c r="AO18" i="7" s="1"/>
  <c r="AE29" i="7" a="1"/>
  <c r="AE29" i="7" s="1"/>
  <c r="AL18" i="7" a="1"/>
  <c r="AL18" i="7" s="1"/>
  <c r="AF20" i="7" a="1"/>
  <c r="AF20" i="7" s="1"/>
  <c r="AK31" i="7" a="1"/>
  <c r="AK31" i="7" s="1"/>
  <c r="AI21" i="7" a="1"/>
  <c r="AI21" i="7" s="1"/>
  <c r="AN21" i="7" a="1"/>
  <c r="AN21" i="7" s="1"/>
  <c r="AL30" i="7" a="1"/>
  <c r="AL30" i="7" s="1"/>
  <c r="AO30" i="7" a="1"/>
  <c r="AO30" i="7" s="1"/>
  <c r="AO24" i="7" a="1"/>
  <c r="AO24" i="7" s="1"/>
  <c r="AE17" i="7" a="1"/>
  <c r="AE17" i="7" s="1"/>
  <c r="AC17" i="7"/>
  <c r="AK7" i="7" a="1"/>
  <c r="AK7" i="7" s="1"/>
  <c r="AL7" i="7" a="1"/>
  <c r="AL7" i="7" s="1"/>
  <c r="AM7" i="7" a="1"/>
  <c r="AM7" i="7" s="1"/>
  <c r="AI7" i="7" a="1"/>
  <c r="AI7" i="7" s="1"/>
  <c r="AF7" i="7" a="1"/>
  <c r="AF7" i="7" s="1"/>
  <c r="AH7" i="7" a="1"/>
  <c r="AH7" i="7" s="1"/>
  <c r="AJ7" i="7" a="1"/>
  <c r="AJ7" i="7" s="1"/>
  <c r="AN7" i="7" a="1"/>
  <c r="AN7" i="7" s="1"/>
  <c r="AG7" i="7" a="1"/>
  <c r="AG7" i="7" s="1"/>
  <c r="AE7" i="7" a="1"/>
  <c r="AE7" i="7" s="1"/>
  <c r="AO7" i="7" a="1"/>
  <c r="AO7" i="7" s="1"/>
  <c r="AP7" i="7" a="1"/>
  <c r="AP7" i="7" s="1"/>
  <c r="AM35" i="7" a="1"/>
  <c r="AM35" i="7" s="1"/>
  <c r="AL9" i="7" a="1"/>
  <c r="AL9" i="7" s="1"/>
  <c r="AE24" i="7" a="1"/>
  <c r="AE24" i="7" s="1"/>
  <c r="AC24" i="7"/>
  <c r="AM23" i="7" a="1"/>
  <c r="AM23" i="7" s="1"/>
  <c r="AO20" i="7" a="1"/>
  <c r="AO20" i="7" s="1"/>
  <c r="AK18" i="7" a="1"/>
  <c r="AK18" i="7" s="1"/>
  <c r="AM29" i="7" a="1"/>
  <c r="AM29" i="7" s="1"/>
  <c r="AH12" i="7" a="1"/>
  <c r="AH12" i="7" s="1"/>
  <c r="AM17" i="7" a="1"/>
  <c r="AM17" i="7" s="1"/>
  <c r="AL6" i="7" a="1"/>
  <c r="AL6" i="7" s="1"/>
  <c r="AK27" i="7" a="1"/>
  <c r="AK27" i="7" s="1"/>
  <c r="AO27" i="7" a="1"/>
  <c r="AO27" i="7" s="1"/>
  <c r="AN27" i="7" a="1"/>
  <c r="AN27" i="7" s="1"/>
  <c r="AL27" i="7" a="1"/>
  <c r="AL27" i="7" s="1"/>
  <c r="AJ27" i="7" a="1"/>
  <c r="AJ27" i="7" s="1"/>
  <c r="AI27" i="7" a="1"/>
  <c r="AI27" i="7" s="1"/>
  <c r="AM27" i="7" a="1"/>
  <c r="AM27" i="7" s="1"/>
  <c r="AP27" i="7" a="1"/>
  <c r="AP27" i="7" s="1"/>
  <c r="AE27" i="7" a="1"/>
  <c r="AE27" i="7" s="1"/>
  <c r="AH27" i="7" a="1"/>
  <c r="AH27" i="7" s="1"/>
  <c r="AF27" i="7" a="1"/>
  <c r="AF27" i="7" s="1"/>
  <c r="AG27" i="7" a="1"/>
  <c r="AG27" i="7" s="1"/>
  <c r="AC40" i="7"/>
  <c r="AC39" i="7"/>
  <c r="AC38" i="7"/>
  <c r="AC33" i="7"/>
  <c r="AC32" i="7"/>
  <c r="AC29" i="7"/>
  <c r="O18" i="7"/>
  <c r="U8" i="7"/>
  <c r="Z8" i="7"/>
  <c r="X8" i="7"/>
  <c r="P8" i="7"/>
  <c r="P41" i="7" s="1"/>
  <c r="S8" i="7"/>
  <c r="AA8" i="7"/>
  <c r="V8" i="7"/>
  <c r="T8" i="7"/>
  <c r="Q8" i="7"/>
  <c r="Y8" i="7"/>
  <c r="W8" i="7"/>
  <c r="R8" i="7"/>
  <c r="L25" i="1" s="1"/>
  <c r="O13" i="7"/>
  <c r="O40" i="7"/>
  <c r="O36" i="7"/>
  <c r="O35" i="7"/>
  <c r="T11" i="8"/>
  <c r="O33" i="7"/>
  <c r="O17" i="7"/>
  <c r="O22" i="7"/>
  <c r="O19" i="7"/>
  <c r="O16" i="7"/>
  <c r="O34" i="7"/>
  <c r="O26" i="7"/>
  <c r="O31" i="7"/>
  <c r="O15" i="7"/>
  <c r="O37" i="7"/>
  <c r="O21" i="7"/>
  <c r="O30" i="7"/>
  <c r="O28" i="7"/>
  <c r="O25" i="7"/>
  <c r="O24" i="7"/>
  <c r="O38" i="7"/>
  <c r="O39" i="7"/>
  <c r="O12" i="7"/>
  <c r="O27" i="7"/>
  <c r="O10" i="7"/>
  <c r="O23" i="7"/>
  <c r="O29" i="7"/>
  <c r="O20" i="7"/>
  <c r="O32" i="7"/>
  <c r="O11" i="7"/>
  <c r="O9" i="7"/>
  <c r="O6" i="7"/>
  <c r="L8" i="7"/>
  <c r="M8" i="7" s="1"/>
  <c r="U11" i="8"/>
  <c r="S11" i="8"/>
  <c r="T61" i="1"/>
  <c r="Q61" i="1"/>
  <c r="Q11" i="8"/>
  <c r="O11" i="8"/>
  <c r="M19" i="8"/>
  <c r="L61" i="1"/>
  <c r="N61" i="1"/>
  <c r="O61" i="1"/>
  <c r="R61" i="1"/>
  <c r="M61" i="1"/>
  <c r="T31" i="8"/>
  <c r="V31" i="8"/>
  <c r="W31" i="8"/>
  <c r="P31" i="8"/>
  <c r="R31" i="8"/>
  <c r="S31" i="8"/>
  <c r="U31" i="8"/>
  <c r="Y31" i="8"/>
  <c r="X31" i="8"/>
  <c r="Q31" i="8"/>
  <c r="Z31" i="8"/>
  <c r="V11" i="8"/>
  <c r="Z11" i="8"/>
  <c r="R11" i="8"/>
  <c r="W11" i="8"/>
  <c r="X11" i="8"/>
  <c r="Y11" i="8"/>
  <c r="P11" i="8"/>
  <c r="S61" i="1"/>
  <c r="J61" i="1"/>
  <c r="K61" i="1"/>
  <c r="U61" i="1"/>
  <c r="P61" i="1"/>
  <c r="I73" i="1"/>
  <c r="J68" i="1" s="1"/>
  <c r="X68" i="1" s="1"/>
  <c r="Q47" i="1"/>
  <c r="S47" i="1"/>
  <c r="N47" i="1"/>
  <c r="O47" i="1"/>
  <c r="U47" i="1"/>
  <c r="R47" i="1"/>
  <c r="M47" i="1"/>
  <c r="P47" i="1"/>
  <c r="T47" i="1"/>
  <c r="K47" i="1"/>
  <c r="L47" i="1"/>
  <c r="N148" i="1"/>
  <c r="Q148" i="1"/>
  <c r="T148" i="1"/>
  <c r="M148" i="1"/>
  <c r="O148" i="1"/>
  <c r="U148" i="1"/>
  <c r="P148" i="1"/>
  <c r="L148" i="1"/>
  <c r="S148" i="1"/>
  <c r="J148" i="1"/>
  <c r="R148" i="1"/>
  <c r="K148" i="1"/>
  <c r="U139" i="1"/>
  <c r="L139" i="1"/>
  <c r="R87" i="9"/>
  <c r="E88" i="9" s="1"/>
  <c r="J121" i="1"/>
  <c r="X121" i="1" s="1"/>
  <c r="P139" i="1"/>
  <c r="K139" i="1"/>
  <c r="Q139" i="1"/>
  <c r="J139" i="1"/>
  <c r="T139" i="1"/>
  <c r="M139" i="1"/>
  <c r="R139" i="1"/>
  <c r="N139" i="1"/>
  <c r="O139" i="1"/>
  <c r="S139" i="1"/>
  <c r="K41" i="7"/>
  <c r="J89" i="1"/>
  <c r="X89" i="1" s="1"/>
  <c r="C6" i="2"/>
  <c r="B3" i="13" s="1"/>
  <c r="B1" i="1" a="1"/>
  <c r="B1" i="1" s="1"/>
  <c r="F5" i="1" a="1"/>
  <c r="F5" i="1" s="1"/>
  <c r="G20" i="1"/>
  <c r="F20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F14" i="1"/>
  <c r="G14" i="1"/>
  <c r="AQ8" i="7" l="1" a="1"/>
  <c r="AQ8" i="7" s="1"/>
  <c r="AQ41" i="7"/>
  <c r="V26" i="1" s="1"/>
  <c r="V90" i="1" s="1"/>
  <c r="X27" i="1"/>
  <c r="V98" i="1"/>
  <c r="V28" i="1"/>
  <c r="S84" i="9"/>
  <c r="Q88" i="9"/>
  <c r="X107" i="1"/>
  <c r="J25" i="1"/>
  <c r="AL8" i="7" a="1"/>
  <c r="AL8" i="7" s="1"/>
  <c r="AL41" i="7" s="1"/>
  <c r="AR22" i="7"/>
  <c r="AR32" i="7"/>
  <c r="AN8" i="7" a="1"/>
  <c r="AN8" i="7" s="1"/>
  <c r="AN41" i="7" s="1"/>
  <c r="AR7" i="7"/>
  <c r="AR37" i="7"/>
  <c r="AR21" i="7"/>
  <c r="AR10" i="7"/>
  <c r="AR33" i="7"/>
  <c r="AP8" i="7" a="1"/>
  <c r="AP8" i="7" s="1"/>
  <c r="AP41" i="7" s="1"/>
  <c r="AO8" i="7" a="1"/>
  <c r="AO8" i="7" s="1"/>
  <c r="AO41" i="7" s="1"/>
  <c r="AJ8" i="7" a="1"/>
  <c r="AJ8" i="7" s="1"/>
  <c r="AJ41" i="7" s="1"/>
  <c r="AR18" i="7"/>
  <c r="AR20" i="7"/>
  <c r="AR19" i="7"/>
  <c r="AR40" i="7"/>
  <c r="AR17" i="7"/>
  <c r="AR31" i="7"/>
  <c r="AF8" i="7" a="1"/>
  <c r="AF8" i="7" s="1"/>
  <c r="AF41" i="7" s="1"/>
  <c r="AR35" i="7"/>
  <c r="AR13" i="7"/>
  <c r="AR36" i="7"/>
  <c r="AR9" i="7"/>
  <c r="AR34" i="7"/>
  <c r="AR28" i="7"/>
  <c r="AR39" i="7"/>
  <c r="AR25" i="7"/>
  <c r="AR23" i="7"/>
  <c r="AM8" i="7" a="1"/>
  <c r="AM8" i="7" s="1"/>
  <c r="AM41" i="7" s="1"/>
  <c r="AR30" i="7"/>
  <c r="AR11" i="7"/>
  <c r="AR12" i="7"/>
  <c r="Y41" i="7"/>
  <c r="P25" i="1"/>
  <c r="AK8" i="7" a="1"/>
  <c r="AK8" i="7" s="1"/>
  <c r="AK41" i="7" s="1"/>
  <c r="AR38" i="7"/>
  <c r="AH8" i="7" a="1"/>
  <c r="AH8" i="7" s="1"/>
  <c r="AH41" i="7" s="1"/>
  <c r="AE8" i="7" a="1"/>
  <c r="AE8" i="7" s="1"/>
  <c r="AC8" i="7"/>
  <c r="AC41" i="7" s="1"/>
  <c r="R25" i="1"/>
  <c r="Z41" i="7"/>
  <c r="AI8" i="7" a="1"/>
  <c r="AI8" i="7" s="1"/>
  <c r="AI41" i="7" s="1"/>
  <c r="AR16" i="7"/>
  <c r="AR24" i="7"/>
  <c r="AR6" i="7"/>
  <c r="S41" i="7"/>
  <c r="AR15" i="7"/>
  <c r="AR26" i="7"/>
  <c r="Q41" i="7"/>
  <c r="AG8" i="7" a="1"/>
  <c r="AG8" i="7" s="1"/>
  <c r="AG41" i="7" s="1"/>
  <c r="AR29" i="7"/>
  <c r="AR27" i="7"/>
  <c r="AA41" i="7"/>
  <c r="O8" i="7"/>
  <c r="V91" i="1" s="1"/>
  <c r="U41" i="7"/>
  <c r="T41" i="7"/>
  <c r="N149" i="1"/>
  <c r="W41" i="7"/>
  <c r="L149" i="1"/>
  <c r="F51" i="12"/>
  <c r="U164" i="1"/>
  <c r="U163" i="1"/>
  <c r="N164" i="1"/>
  <c r="N163" i="1"/>
  <c r="J163" i="1"/>
  <c r="J164" i="1"/>
  <c r="M164" i="1"/>
  <c r="M163" i="1"/>
  <c r="O164" i="1"/>
  <c r="O163" i="1"/>
  <c r="T164" i="1"/>
  <c r="T163" i="1"/>
  <c r="P164" i="1"/>
  <c r="P163" i="1"/>
  <c r="L164" i="1"/>
  <c r="L163" i="1"/>
  <c r="Q163" i="1"/>
  <c r="Q164" i="1"/>
  <c r="K163" i="1"/>
  <c r="K164" i="1"/>
  <c r="R164" i="1"/>
  <c r="R163" i="1"/>
  <c r="S164" i="1"/>
  <c r="S163" i="1"/>
  <c r="T155" i="1"/>
  <c r="T161" i="1"/>
  <c r="T160" i="1"/>
  <c r="U155" i="1"/>
  <c r="U161" i="1"/>
  <c r="U160" i="1"/>
  <c r="K155" i="1"/>
  <c r="K160" i="1"/>
  <c r="K161" i="1"/>
  <c r="S155" i="1"/>
  <c r="S160" i="1"/>
  <c r="S161" i="1"/>
  <c r="M155" i="1"/>
  <c r="M160" i="1"/>
  <c r="M161" i="1"/>
  <c r="O155" i="1"/>
  <c r="O161" i="1"/>
  <c r="O160" i="1"/>
  <c r="J155" i="1"/>
  <c r="J161" i="1"/>
  <c r="J160" i="1"/>
  <c r="P155" i="1"/>
  <c r="P160" i="1"/>
  <c r="P161" i="1"/>
  <c r="N155" i="1"/>
  <c r="N161" i="1"/>
  <c r="N160" i="1"/>
  <c r="Q155" i="1"/>
  <c r="Q160" i="1"/>
  <c r="Q161" i="1"/>
  <c r="L155" i="1"/>
  <c r="L161" i="1"/>
  <c r="L160" i="1"/>
  <c r="R155" i="1"/>
  <c r="R160" i="1"/>
  <c r="R161" i="1"/>
  <c r="T149" i="1"/>
  <c r="Q26" i="8"/>
  <c r="Q25" i="8"/>
  <c r="Q24" i="8"/>
  <c r="Q23" i="8"/>
  <c r="U34" i="8"/>
  <c r="U33" i="8"/>
  <c r="Z33" i="8"/>
  <c r="Z34" i="8"/>
  <c r="S33" i="8"/>
  <c r="S34" i="8"/>
  <c r="S26" i="8"/>
  <c r="S24" i="8"/>
  <c r="S23" i="8"/>
  <c r="S25" i="8"/>
  <c r="Z25" i="8"/>
  <c r="Z26" i="8"/>
  <c r="Z24" i="8"/>
  <c r="Z23" i="8"/>
  <c r="R25" i="8"/>
  <c r="R26" i="8"/>
  <c r="R24" i="8"/>
  <c r="R23" i="8"/>
  <c r="R33" i="8"/>
  <c r="R34" i="8"/>
  <c r="Y26" i="8"/>
  <c r="Y23" i="8"/>
  <c r="Y25" i="8"/>
  <c r="Y24" i="8"/>
  <c r="P25" i="8"/>
  <c r="P26" i="8"/>
  <c r="P24" i="8"/>
  <c r="P23" i="8"/>
  <c r="P33" i="8"/>
  <c r="P34" i="8"/>
  <c r="X33" i="8"/>
  <c r="X34" i="8"/>
  <c r="Y33" i="8"/>
  <c r="Y34" i="8"/>
  <c r="W26" i="8"/>
  <c r="W24" i="8"/>
  <c r="W23" i="8"/>
  <c r="W25" i="8"/>
  <c r="W34" i="8"/>
  <c r="W33" i="8"/>
  <c r="U26" i="8"/>
  <c r="U23" i="8"/>
  <c r="U24" i="8"/>
  <c r="U25" i="8"/>
  <c r="V26" i="8"/>
  <c r="V24" i="8"/>
  <c r="V23" i="8"/>
  <c r="V25" i="8"/>
  <c r="Q33" i="8"/>
  <c r="Q34" i="8"/>
  <c r="V33" i="8"/>
  <c r="V34" i="8"/>
  <c r="X26" i="8"/>
  <c r="X24" i="8"/>
  <c r="X25" i="8"/>
  <c r="X23" i="8"/>
  <c r="T26" i="8"/>
  <c r="T24" i="8"/>
  <c r="T25" i="8"/>
  <c r="T23" i="8"/>
  <c r="T33" i="8"/>
  <c r="T34" i="8"/>
  <c r="X61" i="1"/>
  <c r="M149" i="1"/>
  <c r="J149" i="1"/>
  <c r="Q149" i="1"/>
  <c r="X47" i="1"/>
  <c r="S149" i="1"/>
  <c r="O149" i="1"/>
  <c r="P149" i="1"/>
  <c r="K149" i="1"/>
  <c r="R149" i="1"/>
  <c r="R88" i="9"/>
  <c r="S87" i="9"/>
  <c r="O88" i="9"/>
  <c r="M88" i="9"/>
  <c r="I88" i="9"/>
  <c r="P88" i="9"/>
  <c r="L88" i="9"/>
  <c r="G88" i="9"/>
  <c r="H88" i="9"/>
  <c r="S85" i="9"/>
  <c r="N88" i="9"/>
  <c r="J88" i="9"/>
  <c r="K88" i="9"/>
  <c r="S86" i="9"/>
  <c r="F88" i="9"/>
  <c r="B3" i="1"/>
  <c r="R41" i="7"/>
  <c r="X41" i="7"/>
  <c r="N25" i="1"/>
  <c r="V41" i="7"/>
  <c r="O25" i="1"/>
  <c r="U25" i="1"/>
  <c r="L41" i="7"/>
  <c r="M25" i="1"/>
  <c r="K25" i="1"/>
  <c r="S25" i="1"/>
  <c r="Q25" i="1"/>
  <c r="T25" i="1"/>
  <c r="G22" i="1"/>
  <c r="F22" i="1"/>
  <c r="M157" i="1"/>
  <c r="J154" i="1"/>
  <c r="K154" i="1"/>
  <c r="L154" i="1"/>
  <c r="M154" i="1"/>
  <c r="N154" i="1"/>
  <c r="O154" i="1"/>
  <c r="K157" i="1"/>
  <c r="L157" i="1"/>
  <c r="O157" i="1"/>
  <c r="Q154" i="1"/>
  <c r="U154" i="1"/>
  <c r="P157" i="1"/>
  <c r="S154" i="1"/>
  <c r="Q157" i="1"/>
  <c r="R154" i="1"/>
  <c r="R157" i="1"/>
  <c r="P154" i="1"/>
  <c r="T154" i="1"/>
  <c r="N157" i="1"/>
  <c r="S157" i="1"/>
  <c r="T157" i="1"/>
  <c r="U157" i="1"/>
  <c r="R158" i="1"/>
  <c r="R166" i="1" s="1"/>
  <c r="T158" i="1"/>
  <c r="T166" i="1" s="1"/>
  <c r="S158" i="1"/>
  <c r="S166" i="1" s="1"/>
  <c r="U158" i="1"/>
  <c r="U166" i="1" s="1"/>
  <c r="J158" i="1"/>
  <c r="J166" i="1" s="1"/>
  <c r="J62" i="1" s="1"/>
  <c r="J18" i="13" s="1"/>
  <c r="K158" i="1"/>
  <c r="K166" i="1" s="1"/>
  <c r="L158" i="1"/>
  <c r="L166" i="1" s="1"/>
  <c r="M158" i="1"/>
  <c r="M166" i="1" s="1"/>
  <c r="N158" i="1"/>
  <c r="N166" i="1" s="1"/>
  <c r="O158" i="1"/>
  <c r="O166" i="1" s="1"/>
  <c r="P158" i="1"/>
  <c r="P166" i="1" s="1"/>
  <c r="Q158" i="1"/>
  <c r="Q166" i="1" s="1"/>
  <c r="V106" i="1" l="1"/>
  <c r="V20" i="13" s="1"/>
  <c r="R83" i="1"/>
  <c r="O83" i="1"/>
  <c r="O85" i="1" s="1"/>
  <c r="P83" i="1"/>
  <c r="P85" i="1" s="1"/>
  <c r="Q83" i="1"/>
  <c r="R84" i="1" s="1"/>
  <c r="R26" i="1"/>
  <c r="K26" i="1"/>
  <c r="P26" i="1"/>
  <c r="N26" i="1"/>
  <c r="U26" i="1"/>
  <c r="O26" i="1"/>
  <c r="T26" i="1"/>
  <c r="Q26" i="1"/>
  <c r="S26" i="1"/>
  <c r="M26" i="1"/>
  <c r="L26" i="1"/>
  <c r="AR8" i="7"/>
  <c r="S84" i="1"/>
  <c r="R85" i="1"/>
  <c r="AE41" i="7"/>
  <c r="AR41" i="7"/>
  <c r="P91" i="1"/>
  <c r="K91" i="1"/>
  <c r="T91" i="1"/>
  <c r="O91" i="1"/>
  <c r="M91" i="1"/>
  <c r="L91" i="1"/>
  <c r="J91" i="1"/>
  <c r="S91" i="1"/>
  <c r="Q91" i="1"/>
  <c r="N91" i="1"/>
  <c r="R91" i="1"/>
  <c r="U36" i="8"/>
  <c r="P29" i="1" s="1"/>
  <c r="W36" i="8"/>
  <c r="R29" i="1" s="1"/>
  <c r="J16" i="12"/>
  <c r="K28" i="12"/>
  <c r="J28" i="12"/>
  <c r="S40" i="12"/>
  <c r="L106" i="1"/>
  <c r="Q106" i="1"/>
  <c r="S106" i="1"/>
  <c r="U106" i="1"/>
  <c r="T106" i="1"/>
  <c r="R106" i="1"/>
  <c r="M106" i="1"/>
  <c r="P106" i="1"/>
  <c r="J106" i="1"/>
  <c r="O106" i="1"/>
  <c r="N106" i="1"/>
  <c r="Q40" i="12"/>
  <c r="I16" i="12"/>
  <c r="I28" i="12"/>
  <c r="L16" i="12"/>
  <c r="R40" i="12"/>
  <c r="K16" i="12"/>
  <c r="M16" i="12"/>
  <c r="O16" i="12"/>
  <c r="Q16" i="12"/>
  <c r="L28" i="12"/>
  <c r="P16" i="12"/>
  <c r="M28" i="12"/>
  <c r="N16" i="12"/>
  <c r="O28" i="12"/>
  <c r="U38" i="12"/>
  <c r="U25" i="12"/>
  <c r="U27" i="12"/>
  <c r="U37" i="12"/>
  <c r="U15" i="12"/>
  <c r="U39" i="12"/>
  <c r="U26" i="12"/>
  <c r="U14" i="12"/>
  <c r="U13" i="12"/>
  <c r="M40" i="12"/>
  <c r="J40" i="12"/>
  <c r="P40" i="12"/>
  <c r="L40" i="12"/>
  <c r="P28" i="12"/>
  <c r="N28" i="12"/>
  <c r="Q28" i="12"/>
  <c r="O40" i="12"/>
  <c r="I40" i="12"/>
  <c r="R16" i="12"/>
  <c r="R28" i="12"/>
  <c r="S16" i="12"/>
  <c r="S28" i="12"/>
  <c r="K40" i="12"/>
  <c r="N40" i="12"/>
  <c r="T28" i="8"/>
  <c r="R28" i="8"/>
  <c r="Q28" i="8"/>
  <c r="K106" i="1"/>
  <c r="J99" i="1"/>
  <c r="J48" i="1"/>
  <c r="Z28" i="8"/>
  <c r="X28" i="8"/>
  <c r="V28" i="8"/>
  <c r="Y28" i="8"/>
  <c r="W28" i="8"/>
  <c r="Y36" i="8"/>
  <c r="T29" i="1" s="1"/>
  <c r="P28" i="8"/>
  <c r="Q36" i="8"/>
  <c r="L29" i="1" s="1"/>
  <c r="X36" i="8"/>
  <c r="S29" i="1" s="1"/>
  <c r="V36" i="8"/>
  <c r="Q29" i="1" s="1"/>
  <c r="R36" i="8"/>
  <c r="M29" i="1" s="1"/>
  <c r="U28" i="8"/>
  <c r="S36" i="8"/>
  <c r="N29" i="1" s="1"/>
  <c r="Z36" i="8"/>
  <c r="U29" i="1" s="1"/>
  <c r="U91" i="1"/>
  <c r="I91" i="1"/>
  <c r="S28" i="8"/>
  <c r="T36" i="8"/>
  <c r="O29" i="1" s="1"/>
  <c r="P36" i="8"/>
  <c r="M41" i="7"/>
  <c r="I90" i="1"/>
  <c r="U83" i="1"/>
  <c r="K83" i="1"/>
  <c r="T83" i="1"/>
  <c r="S83" i="1"/>
  <c r="M83" i="1"/>
  <c r="L83" i="1"/>
  <c r="N83" i="1"/>
  <c r="J83" i="1"/>
  <c r="F23" i="1"/>
  <c r="G23" i="1"/>
  <c r="U85" i="1" l="1"/>
  <c r="V84" i="1"/>
  <c r="K29" i="1"/>
  <c r="J29" i="1"/>
  <c r="K90" i="1"/>
  <c r="L90" i="1"/>
  <c r="O90" i="1"/>
  <c r="R90" i="1"/>
  <c r="Q84" i="1"/>
  <c r="Q85" i="1"/>
  <c r="P84" i="1"/>
  <c r="N90" i="1"/>
  <c r="M90" i="1"/>
  <c r="S90" i="1"/>
  <c r="P90" i="1"/>
  <c r="Q90" i="1"/>
  <c r="U90" i="1"/>
  <c r="T90" i="1"/>
  <c r="N20" i="13"/>
  <c r="J20" i="13"/>
  <c r="M20" i="13"/>
  <c r="J21" i="13"/>
  <c r="T20" i="13"/>
  <c r="O20" i="13"/>
  <c r="S20" i="13"/>
  <c r="U20" i="13"/>
  <c r="L20" i="13"/>
  <c r="P20" i="13"/>
  <c r="R20" i="13"/>
  <c r="Q20" i="13"/>
  <c r="K20" i="13"/>
  <c r="K28" i="1"/>
  <c r="T28" i="1"/>
  <c r="Q28" i="1"/>
  <c r="U28" i="1"/>
  <c r="P28" i="1"/>
  <c r="L28" i="1"/>
  <c r="J26" i="1"/>
  <c r="M28" i="1"/>
  <c r="S28" i="1"/>
  <c r="O28" i="1"/>
  <c r="N28" i="1"/>
  <c r="R28" i="1"/>
  <c r="P54" i="12"/>
  <c r="Q54" i="12"/>
  <c r="X91" i="1"/>
  <c r="O54" i="12"/>
  <c r="Q114" i="1" s="1"/>
  <c r="M54" i="12"/>
  <c r="O114" i="1" s="1"/>
  <c r="K54" i="12"/>
  <c r="J54" i="12"/>
  <c r="L114" i="1" s="1"/>
  <c r="I54" i="12"/>
  <c r="K114" i="1" s="1"/>
  <c r="R54" i="12"/>
  <c r="T114" i="1" s="1"/>
  <c r="L54" i="12"/>
  <c r="N114" i="1" s="1"/>
  <c r="S54" i="12"/>
  <c r="U114" i="1" s="1"/>
  <c r="N54" i="12"/>
  <c r="P114" i="1" s="1"/>
  <c r="N85" i="1"/>
  <c r="O84" i="1"/>
  <c r="M85" i="1"/>
  <c r="N84" i="1"/>
  <c r="L85" i="1"/>
  <c r="M84" i="1"/>
  <c r="S85" i="1"/>
  <c r="T84" i="1"/>
  <c r="U84" i="1"/>
  <c r="T85" i="1"/>
  <c r="K85" i="1"/>
  <c r="L84" i="1"/>
  <c r="K84" i="1"/>
  <c r="J85" i="1"/>
  <c r="M114" i="1"/>
  <c r="J109" i="1"/>
  <c r="K105" i="1" s="1"/>
  <c r="K109" i="1" s="1"/>
  <c r="L105" i="1" s="1"/>
  <c r="L109" i="1" s="1"/>
  <c r="M105" i="1" s="1"/>
  <c r="M109" i="1" s="1"/>
  <c r="N105" i="1" s="1"/>
  <c r="N109" i="1" s="1"/>
  <c r="O105" i="1" s="1"/>
  <c r="O109" i="1" s="1"/>
  <c r="P105" i="1" s="1"/>
  <c r="P109" i="1" s="1"/>
  <c r="Q105" i="1" s="1"/>
  <c r="Q109" i="1" s="1"/>
  <c r="R105" i="1" s="1"/>
  <c r="R109" i="1" s="1"/>
  <c r="S105" i="1" s="1"/>
  <c r="S109" i="1" s="1"/>
  <c r="T105" i="1" s="1"/>
  <c r="T109" i="1" s="1"/>
  <c r="U105" i="1" s="1"/>
  <c r="U109" i="1" s="1"/>
  <c r="V105" i="1" s="1"/>
  <c r="V109" i="1" s="1"/>
  <c r="R98" i="1"/>
  <c r="S99" i="1" s="1"/>
  <c r="P98" i="1"/>
  <c r="Q99" i="1" s="1"/>
  <c r="X106" i="1"/>
  <c r="X109" i="1" s="1"/>
  <c r="U50" i="12"/>
  <c r="U40" i="12"/>
  <c r="R114" i="1"/>
  <c r="S114" i="1"/>
  <c r="U16" i="12"/>
  <c r="U28" i="12"/>
  <c r="H16" i="12"/>
  <c r="F20" i="12" s="1" a="1"/>
  <c r="F20" i="12" s="1"/>
  <c r="H40" i="12"/>
  <c r="D41" i="12" s="1"/>
  <c r="H28" i="12"/>
  <c r="D29" i="12" s="1"/>
  <c r="K98" i="1"/>
  <c r="L99" i="1" s="1"/>
  <c r="T98" i="1"/>
  <c r="U99" i="1" s="1"/>
  <c r="Q98" i="1"/>
  <c r="R99" i="1" s="1"/>
  <c r="S98" i="1"/>
  <c r="T99" i="1" s="1"/>
  <c r="M98" i="1"/>
  <c r="N99" i="1" s="1"/>
  <c r="U98" i="1"/>
  <c r="V99" i="1" s="1"/>
  <c r="V21" i="13" s="1"/>
  <c r="O98" i="1"/>
  <c r="P99" i="1" s="1"/>
  <c r="L98" i="1"/>
  <c r="M99" i="1" s="1"/>
  <c r="N98" i="1"/>
  <c r="O99" i="1" s="1"/>
  <c r="M37" i="8"/>
  <c r="I87" i="1"/>
  <c r="J82" i="1" s="1"/>
  <c r="X83" i="1"/>
  <c r="X25" i="1"/>
  <c r="G31" i="1"/>
  <c r="G33" i="1" s="1"/>
  <c r="G35" i="1" s="1"/>
  <c r="G36" i="1" s="1"/>
  <c r="F31" i="1"/>
  <c r="F33" i="1" s="1"/>
  <c r="F35" i="1" s="1"/>
  <c r="F36" i="1" s="1"/>
  <c r="J90" i="1" l="1"/>
  <c r="J93" i="1" s="1"/>
  <c r="K89" i="1" s="1"/>
  <c r="K93" i="1" s="1"/>
  <c r="L89" i="1" s="1"/>
  <c r="L93" i="1" s="1"/>
  <c r="M89" i="1" s="1"/>
  <c r="M93" i="1" s="1"/>
  <c r="N89" i="1" s="1"/>
  <c r="N93" i="1" s="1"/>
  <c r="O89" i="1" s="1"/>
  <c r="O93" i="1" s="1"/>
  <c r="P89" i="1" s="1"/>
  <c r="P93" i="1" s="1"/>
  <c r="Q89" i="1" s="1"/>
  <c r="Q93" i="1" s="1"/>
  <c r="R89" i="1" s="1"/>
  <c r="R93" i="1" s="1"/>
  <c r="S89" i="1" s="1"/>
  <c r="S93" i="1" s="1"/>
  <c r="T89" i="1" s="1"/>
  <c r="T93" i="1" s="1"/>
  <c r="U89" i="1" s="1"/>
  <c r="U93" i="1" s="1"/>
  <c r="V89" i="1" s="1"/>
  <c r="V93" i="1" s="1"/>
  <c r="X93" i="1" s="1"/>
  <c r="X20" i="13"/>
  <c r="X26" i="1"/>
  <c r="K30" i="13"/>
  <c r="U30" i="13"/>
  <c r="L21" i="13"/>
  <c r="Q30" i="13"/>
  <c r="S30" i="13"/>
  <c r="R21" i="13"/>
  <c r="O30" i="13"/>
  <c r="T30" i="13"/>
  <c r="N21" i="13"/>
  <c r="U21" i="13"/>
  <c r="R30" i="13"/>
  <c r="P21" i="13"/>
  <c r="N30" i="13"/>
  <c r="Q21" i="13"/>
  <c r="M30" i="13"/>
  <c r="T21" i="13"/>
  <c r="L30" i="13"/>
  <c r="S21" i="13"/>
  <c r="O21" i="13"/>
  <c r="P30" i="13"/>
  <c r="M21" i="13"/>
  <c r="C14" i="2"/>
  <c r="C7" i="16" s="1"/>
  <c r="V38" i="13" s="1"/>
  <c r="S19" i="12"/>
  <c r="L19" i="12"/>
  <c r="R19" i="12"/>
  <c r="N19" i="12"/>
  <c r="K19" i="12"/>
  <c r="I19" i="12"/>
  <c r="Q19" i="12"/>
  <c r="M19" i="12"/>
  <c r="J19" i="12"/>
  <c r="H19" i="12"/>
  <c r="P19" i="12"/>
  <c r="O19" i="12"/>
  <c r="F44" i="12" a="1"/>
  <c r="F44" i="12" s="1"/>
  <c r="F32" i="12" a="1"/>
  <c r="F32" i="12" s="1"/>
  <c r="D17" i="12"/>
  <c r="H54" i="12"/>
  <c r="X29" i="1"/>
  <c r="X84" i="1"/>
  <c r="X85" i="1"/>
  <c r="J87" i="1"/>
  <c r="K82" i="1" s="1"/>
  <c r="K87" i="1" s="1"/>
  <c r="X82" i="1"/>
  <c r="I20" i="1"/>
  <c r="H20" i="1"/>
  <c r="I14" i="1"/>
  <c r="H14" i="1"/>
  <c r="X90" i="1" l="1"/>
  <c r="S38" i="13"/>
  <c r="O38" i="13"/>
  <c r="L38" i="13"/>
  <c r="J38" i="13"/>
  <c r="U38" i="13"/>
  <c r="R38" i="13"/>
  <c r="Q38" i="13"/>
  <c r="P38" i="13"/>
  <c r="M38" i="13"/>
  <c r="K38" i="13"/>
  <c r="N7" i="16"/>
  <c r="T38" i="13"/>
  <c r="N38" i="13"/>
  <c r="I7" i="16"/>
  <c r="J7" i="16"/>
  <c r="C12" i="16"/>
  <c r="N8" i="16"/>
  <c r="J8" i="16"/>
  <c r="J9" i="16"/>
  <c r="N9" i="16"/>
  <c r="N10" i="16"/>
  <c r="J10" i="16"/>
  <c r="J11" i="16"/>
  <c r="N11" i="16"/>
  <c r="N12" i="16"/>
  <c r="J12" i="16"/>
  <c r="K12" i="16" s="1"/>
  <c r="N13" i="16"/>
  <c r="J13" i="16"/>
  <c r="N14" i="16"/>
  <c r="J14" i="16"/>
  <c r="N15" i="16"/>
  <c r="J15" i="16"/>
  <c r="N16" i="16"/>
  <c r="J16" i="16"/>
  <c r="J17" i="16"/>
  <c r="N17" i="16"/>
  <c r="N18" i="16"/>
  <c r="J18" i="16"/>
  <c r="N19" i="16"/>
  <c r="J19" i="16"/>
  <c r="N20" i="16"/>
  <c r="J20" i="16"/>
  <c r="N21" i="16"/>
  <c r="J21" i="16"/>
  <c r="N22" i="16"/>
  <c r="J22" i="16"/>
  <c r="N23" i="16"/>
  <c r="J23" i="16"/>
  <c r="N24" i="16"/>
  <c r="J24" i="16"/>
  <c r="J25" i="16"/>
  <c r="N25" i="16"/>
  <c r="N26" i="16"/>
  <c r="J26" i="16"/>
  <c r="N27" i="16"/>
  <c r="J27" i="16"/>
  <c r="N28" i="16"/>
  <c r="J28" i="16"/>
  <c r="N29" i="16"/>
  <c r="J29" i="16"/>
  <c r="N30" i="16"/>
  <c r="J30" i="16"/>
  <c r="N31" i="16"/>
  <c r="J31" i="16"/>
  <c r="N32" i="16"/>
  <c r="J32" i="16"/>
  <c r="J33" i="16"/>
  <c r="N33" i="16"/>
  <c r="N34" i="16"/>
  <c r="J34" i="16"/>
  <c r="N35" i="16"/>
  <c r="J35" i="16"/>
  <c r="N36" i="16"/>
  <c r="J36" i="16"/>
  <c r="N37" i="16"/>
  <c r="J37" i="16"/>
  <c r="N38" i="16"/>
  <c r="J38" i="16"/>
  <c r="N39" i="16"/>
  <c r="J39" i="16"/>
  <c r="N40" i="16"/>
  <c r="J40" i="16"/>
  <c r="N41" i="16"/>
  <c r="J41" i="16"/>
  <c r="N42" i="16"/>
  <c r="J42" i="16"/>
  <c r="S43" i="12"/>
  <c r="O43" i="12"/>
  <c r="M43" i="12"/>
  <c r="K43" i="12"/>
  <c r="I43" i="12"/>
  <c r="R43" i="12"/>
  <c r="P43" i="12"/>
  <c r="N43" i="12"/>
  <c r="L43" i="12"/>
  <c r="J43" i="12"/>
  <c r="H43" i="12"/>
  <c r="Q43" i="12"/>
  <c r="S31" i="12"/>
  <c r="S56" i="12" s="1"/>
  <c r="U115" i="1" s="1"/>
  <c r="Q31" i="12"/>
  <c r="N31" i="12"/>
  <c r="N56" i="12" s="1"/>
  <c r="P115" i="1" s="1"/>
  <c r="L31" i="12"/>
  <c r="J31" i="12"/>
  <c r="J56" i="12" s="1"/>
  <c r="L115" i="1" s="1"/>
  <c r="H31" i="12"/>
  <c r="R31" i="12"/>
  <c r="R56" i="12" s="1"/>
  <c r="T115" i="1" s="1"/>
  <c r="P31" i="12"/>
  <c r="M31" i="12"/>
  <c r="M56" i="12" s="1"/>
  <c r="O115" i="1" s="1"/>
  <c r="K31" i="12"/>
  <c r="I31" i="12"/>
  <c r="O31" i="12"/>
  <c r="U54" i="12"/>
  <c r="J114" i="1"/>
  <c r="U19" i="12"/>
  <c r="L82" i="1"/>
  <c r="H22" i="1"/>
  <c r="I22" i="1"/>
  <c r="I56" i="12" l="1"/>
  <c r="K115" i="1" s="1"/>
  <c r="K37" i="16"/>
  <c r="O37" i="16"/>
  <c r="O19" i="16"/>
  <c r="V40" i="13" s="1"/>
  <c r="K13" i="16"/>
  <c r="K9" i="16"/>
  <c r="Q37" i="16"/>
  <c r="O14" i="16"/>
  <c r="Q40" i="13" s="1"/>
  <c r="K32" i="16"/>
  <c r="O18" i="16"/>
  <c r="U40" i="13" s="1"/>
  <c r="K11" i="16"/>
  <c r="K41" i="16"/>
  <c r="O29" i="16"/>
  <c r="O17" i="16"/>
  <c r="T40" i="13" s="1"/>
  <c r="K18" i="16"/>
  <c r="K31" i="16"/>
  <c r="K33" i="16"/>
  <c r="K15" i="16"/>
  <c r="K17" i="16"/>
  <c r="K30" i="16"/>
  <c r="P39" i="13"/>
  <c r="K36" i="16"/>
  <c r="N39" i="13"/>
  <c r="K14" i="16"/>
  <c r="K16" i="16"/>
  <c r="O7" i="16"/>
  <c r="J40" i="13" s="1"/>
  <c r="O8" i="16"/>
  <c r="K40" i="13" s="1"/>
  <c r="O9" i="16"/>
  <c r="L40" i="13" s="1"/>
  <c r="K34" i="16"/>
  <c r="O10" i="16"/>
  <c r="M40" i="13" s="1"/>
  <c r="J44" i="16"/>
  <c r="K24" i="16"/>
  <c r="O34" i="16"/>
  <c r="O27" i="16"/>
  <c r="O24" i="16"/>
  <c r="O36" i="16"/>
  <c r="O35" i="16"/>
  <c r="O16" i="16"/>
  <c r="S40" i="13" s="1"/>
  <c r="O13" i="16"/>
  <c r="P40" i="13" s="1"/>
  <c r="O12" i="16"/>
  <c r="O40" i="13" s="1"/>
  <c r="K10" i="16"/>
  <c r="K7" i="16"/>
  <c r="K8" i="16"/>
  <c r="O25" i="16"/>
  <c r="K23" i="16"/>
  <c r="O23" i="16"/>
  <c r="O33" i="16"/>
  <c r="L39" i="13"/>
  <c r="K25" i="16"/>
  <c r="K40" i="16"/>
  <c r="K22" i="16"/>
  <c r="O40" i="16"/>
  <c r="O22" i="16"/>
  <c r="O32" i="16"/>
  <c r="Q32" i="16" s="1"/>
  <c r="O31" i="16"/>
  <c r="K29" i="16"/>
  <c r="Q29" i="16" s="1"/>
  <c r="O28" i="16"/>
  <c r="K26" i="16"/>
  <c r="K42" i="16"/>
  <c r="K39" i="16"/>
  <c r="K19" i="16"/>
  <c r="K21" i="16"/>
  <c r="X38" i="13"/>
  <c r="K35" i="16"/>
  <c r="O39" i="13"/>
  <c r="N44" i="16"/>
  <c r="O39" i="16"/>
  <c r="O21" i="16"/>
  <c r="O15" i="16"/>
  <c r="R40" i="13" s="1"/>
  <c r="O30" i="16"/>
  <c r="K28" i="16"/>
  <c r="Q28" i="16" s="1"/>
  <c r="K27" i="16"/>
  <c r="Q27" i="16" s="1"/>
  <c r="K38" i="16"/>
  <c r="K20" i="16"/>
  <c r="O11" i="16"/>
  <c r="N40" i="13" s="1"/>
  <c r="O26" i="16"/>
  <c r="O42" i="16"/>
  <c r="O41" i="16"/>
  <c r="O38" i="16"/>
  <c r="O20" i="16"/>
  <c r="U31" i="12"/>
  <c r="Q56" i="12"/>
  <c r="S115" i="1" s="1"/>
  <c r="L56" i="12"/>
  <c r="N115" i="1" s="1"/>
  <c r="J30" i="13"/>
  <c r="U43" i="12"/>
  <c r="O56" i="12"/>
  <c r="Q115" i="1" s="1"/>
  <c r="K56" i="12"/>
  <c r="M115" i="1" s="1"/>
  <c r="P56" i="12"/>
  <c r="R115" i="1" s="1"/>
  <c r="H56" i="12"/>
  <c r="J115" i="1" s="1"/>
  <c r="X114" i="1"/>
  <c r="L87" i="1"/>
  <c r="M82" i="1" s="1"/>
  <c r="M87" i="1" s="1"/>
  <c r="N82" i="1" s="1"/>
  <c r="N87" i="1" s="1"/>
  <c r="H31" i="1"/>
  <c r="H33" i="1" s="1"/>
  <c r="H35" i="1" s="1"/>
  <c r="H36" i="1" s="1"/>
  <c r="H23" i="1"/>
  <c r="I31" i="1"/>
  <c r="I33" i="1" s="1"/>
  <c r="I35" i="1" s="1"/>
  <c r="I36" i="1" s="1"/>
  <c r="I23" i="1"/>
  <c r="Q20" i="16" l="1"/>
  <c r="Q19" i="16"/>
  <c r="V39" i="13"/>
  <c r="Q33" i="16"/>
  <c r="X30" i="13"/>
  <c r="Q41" i="16"/>
  <c r="O44" i="16"/>
  <c r="Q38" i="16"/>
  <c r="Q23" i="16"/>
  <c r="K39" i="13"/>
  <c r="Q8" i="16"/>
  <c r="M39" i="13"/>
  <c r="Q10" i="16"/>
  <c r="Q24" i="16"/>
  <c r="Q12" i="16"/>
  <c r="Q35" i="16"/>
  <c r="Q21" i="16"/>
  <c r="Q26" i="16"/>
  <c r="J39" i="13"/>
  <c r="Q7" i="16"/>
  <c r="Q11" i="16"/>
  <c r="X40" i="13"/>
  <c r="Q13" i="16"/>
  <c r="Q30" i="16"/>
  <c r="Q25" i="16"/>
  <c r="Q39" i="16"/>
  <c r="Q39" i="13"/>
  <c r="Q14" i="16"/>
  <c r="Q22" i="16"/>
  <c r="Q40" i="16"/>
  <c r="T39" i="13"/>
  <c r="Q17" i="16"/>
  <c r="Q9" i="16"/>
  <c r="Q34" i="16"/>
  <c r="S39" i="13"/>
  <c r="Q16" i="16"/>
  <c r="Q31" i="16"/>
  <c r="R39" i="13"/>
  <c r="Q15" i="16"/>
  <c r="U39" i="13"/>
  <c r="Q18" i="16"/>
  <c r="L7" i="16"/>
  <c r="I8" i="16" s="1"/>
  <c r="L8" i="16" s="1"/>
  <c r="I9" i="16" s="1"/>
  <c r="L9" i="16" s="1"/>
  <c r="I10" i="16" s="1"/>
  <c r="L10" i="16" s="1"/>
  <c r="I11" i="16" s="1"/>
  <c r="L11" i="16" s="1"/>
  <c r="I12" i="16" s="1"/>
  <c r="L12" i="16" s="1"/>
  <c r="I13" i="16" s="1"/>
  <c r="L13" i="16" s="1"/>
  <c r="I14" i="16" s="1"/>
  <c r="L14" i="16" s="1"/>
  <c r="I15" i="16" s="1"/>
  <c r="L15" i="16" s="1"/>
  <c r="I16" i="16" s="1"/>
  <c r="L16" i="16" s="1"/>
  <c r="I17" i="16" s="1"/>
  <c r="L17" i="16" s="1"/>
  <c r="I18" i="16" s="1"/>
  <c r="L18" i="16" s="1"/>
  <c r="I19" i="16" s="1"/>
  <c r="L19" i="16" s="1"/>
  <c r="I20" i="16" s="1"/>
  <c r="L20" i="16" s="1"/>
  <c r="I21" i="16" s="1"/>
  <c r="L21" i="16" s="1"/>
  <c r="I22" i="16" s="1"/>
  <c r="L22" i="16" s="1"/>
  <c r="I23" i="16" s="1"/>
  <c r="L23" i="16" s="1"/>
  <c r="I24" i="16" s="1"/>
  <c r="L24" i="16" s="1"/>
  <c r="I25" i="16" s="1"/>
  <c r="L25" i="16" s="1"/>
  <c r="I26" i="16" s="1"/>
  <c r="L26" i="16" s="1"/>
  <c r="I27" i="16" s="1"/>
  <c r="L27" i="16" s="1"/>
  <c r="I28" i="16" s="1"/>
  <c r="L28" i="16" s="1"/>
  <c r="I29" i="16" s="1"/>
  <c r="L29" i="16" s="1"/>
  <c r="I30" i="16" s="1"/>
  <c r="L30" i="16" s="1"/>
  <c r="I31" i="16" s="1"/>
  <c r="L31" i="16" s="1"/>
  <c r="I32" i="16" s="1"/>
  <c r="L32" i="16" s="1"/>
  <c r="I33" i="16" s="1"/>
  <c r="L33" i="16" s="1"/>
  <c r="I34" i="16" s="1"/>
  <c r="L34" i="16" s="1"/>
  <c r="I35" i="16" s="1"/>
  <c r="L35" i="16" s="1"/>
  <c r="I36" i="16" s="1"/>
  <c r="L36" i="16" s="1"/>
  <c r="I37" i="16" s="1"/>
  <c r="L37" i="16" s="1"/>
  <c r="I38" i="16" s="1"/>
  <c r="L38" i="16" s="1"/>
  <c r="I39" i="16" s="1"/>
  <c r="L39" i="16" s="1"/>
  <c r="I40" i="16" s="1"/>
  <c r="L40" i="16" s="1"/>
  <c r="I41" i="16" s="1"/>
  <c r="L41" i="16" s="1"/>
  <c r="I42" i="16" s="1"/>
  <c r="L42" i="16" s="1"/>
  <c r="K44" i="16"/>
  <c r="Q42" i="16"/>
  <c r="Q36" i="16"/>
  <c r="X115" i="1"/>
  <c r="X117" i="1" s="1"/>
  <c r="J117" i="1"/>
  <c r="K113" i="1" s="1"/>
  <c r="K117" i="1" s="1"/>
  <c r="L113" i="1" s="1"/>
  <c r="L117" i="1" s="1"/>
  <c r="M113" i="1" s="1"/>
  <c r="M117" i="1" s="1"/>
  <c r="N113" i="1" s="1"/>
  <c r="N117" i="1" s="1"/>
  <c r="O113" i="1" s="1"/>
  <c r="O117" i="1" s="1"/>
  <c r="P113" i="1" s="1"/>
  <c r="P117" i="1" s="1"/>
  <c r="Q113" i="1" s="1"/>
  <c r="Q117" i="1" s="1"/>
  <c r="R113" i="1" s="1"/>
  <c r="R117" i="1" s="1"/>
  <c r="S113" i="1" s="1"/>
  <c r="S117" i="1" s="1"/>
  <c r="T113" i="1" s="1"/>
  <c r="T117" i="1" s="1"/>
  <c r="U113" i="1" s="1"/>
  <c r="U117" i="1" s="1"/>
  <c r="V113" i="1" s="1"/>
  <c r="V117" i="1" s="1"/>
  <c r="U56" i="12"/>
  <c r="J45" i="1"/>
  <c r="X45" i="1" s="1"/>
  <c r="O82" i="1"/>
  <c r="O87" i="1" s="1"/>
  <c r="Q44" i="16" l="1"/>
  <c r="X39" i="13"/>
  <c r="P82" i="1"/>
  <c r="P87" i="1" s="1"/>
  <c r="Q82" i="1" l="1"/>
  <c r="Q87" i="1" s="1"/>
  <c r="R82" i="1" l="1"/>
  <c r="R87" i="1" s="1"/>
  <c r="S82" i="1" l="1"/>
  <c r="S87" i="1" s="1"/>
  <c r="T82" i="1" l="1"/>
  <c r="T87" i="1" s="1"/>
  <c r="U82" i="1" l="1"/>
  <c r="U87" i="1" s="1"/>
  <c r="D43" i="9" a="1"/>
  <c r="D43" i="9" s="1"/>
  <c r="V12" i="1" l="1"/>
  <c r="V11" i="1"/>
  <c r="V10" i="1"/>
  <c r="J12" i="1"/>
  <c r="J11" i="1"/>
  <c r="J10" i="1"/>
  <c r="X87" i="1"/>
  <c r="V82" i="1"/>
  <c r="V87" i="1" s="1"/>
  <c r="U12" i="1"/>
  <c r="S10" i="1"/>
  <c r="T12" i="1"/>
  <c r="K11" i="1"/>
  <c r="S12" i="1"/>
  <c r="R12" i="1"/>
  <c r="N10" i="1"/>
  <c r="Q12" i="1"/>
  <c r="R10" i="1"/>
  <c r="K10" i="1"/>
  <c r="P12" i="1"/>
  <c r="N11" i="1"/>
  <c r="O12" i="1"/>
  <c r="Q11" i="1"/>
  <c r="N12" i="1"/>
  <c r="O11" i="1"/>
  <c r="M12" i="1"/>
  <c r="P11" i="1"/>
  <c r="O10" i="1"/>
  <c r="M11" i="1"/>
  <c r="L12" i="1"/>
  <c r="T11" i="1"/>
  <c r="K12" i="1"/>
  <c r="T10" i="1"/>
  <c r="P10" i="1"/>
  <c r="U11" i="1"/>
  <c r="U10" i="1"/>
  <c r="M10" i="1"/>
  <c r="Q10" i="1"/>
  <c r="S11" i="1"/>
  <c r="L11" i="1"/>
  <c r="L10" i="1"/>
  <c r="R11" i="1"/>
  <c r="V46" i="1" l="1"/>
  <c r="V53" i="1" s="1"/>
  <c r="V14" i="1"/>
  <c r="K46" i="1"/>
  <c r="K53" i="1" s="1"/>
  <c r="S46" i="1"/>
  <c r="S53" i="1" s="1"/>
  <c r="Q46" i="1"/>
  <c r="Q53" i="1" s="1"/>
  <c r="T46" i="1"/>
  <c r="T53" i="1" s="1"/>
  <c r="M46" i="1"/>
  <c r="M53" i="1" s="1"/>
  <c r="O46" i="1"/>
  <c r="O53" i="1" s="1"/>
  <c r="R46" i="1"/>
  <c r="R53" i="1" s="1"/>
  <c r="L46" i="1"/>
  <c r="L53" i="1" s="1"/>
  <c r="U46" i="1"/>
  <c r="P46" i="1"/>
  <c r="P53" i="1" s="1"/>
  <c r="N46" i="1"/>
  <c r="N53" i="1" s="1"/>
  <c r="J46" i="1"/>
  <c r="J14" i="1"/>
  <c r="U14" i="1"/>
  <c r="M14" i="1"/>
  <c r="K14" i="1"/>
  <c r="T14" i="1"/>
  <c r="P14" i="1"/>
  <c r="X11" i="1"/>
  <c r="O14" i="1"/>
  <c r="X10" i="1"/>
  <c r="L14" i="1"/>
  <c r="N14" i="1"/>
  <c r="Q14" i="1"/>
  <c r="R14" i="1"/>
  <c r="X12" i="1"/>
  <c r="S14" i="1"/>
  <c r="V16" i="1" l="1"/>
  <c r="V18" i="1"/>
  <c r="V60" i="1" s="1"/>
  <c r="V17" i="1"/>
  <c r="V69" i="1" s="1"/>
  <c r="V75" i="1" s="1"/>
  <c r="U53" i="1"/>
  <c r="V48" i="1"/>
  <c r="S48" i="1"/>
  <c r="M48" i="1"/>
  <c r="T48" i="1"/>
  <c r="Q48" i="1"/>
  <c r="S18" i="1"/>
  <c r="S17" i="1"/>
  <c r="S16" i="1"/>
  <c r="L18" i="1"/>
  <c r="L16" i="1"/>
  <c r="L17" i="1"/>
  <c r="R18" i="1"/>
  <c r="R16" i="1"/>
  <c r="R17" i="1"/>
  <c r="Q18" i="1"/>
  <c r="Q16" i="1"/>
  <c r="Q17" i="1"/>
  <c r="J18" i="1"/>
  <c r="J16" i="1"/>
  <c r="J17" i="1"/>
  <c r="K16" i="1"/>
  <c r="K18" i="1"/>
  <c r="K17" i="1"/>
  <c r="N18" i="1"/>
  <c r="N16" i="1"/>
  <c r="N17" i="1"/>
  <c r="O18" i="1"/>
  <c r="O16" i="1"/>
  <c r="O17" i="1"/>
  <c r="M18" i="1"/>
  <c r="M16" i="1"/>
  <c r="M17" i="1"/>
  <c r="P18" i="1"/>
  <c r="P16" i="1"/>
  <c r="P17" i="1"/>
  <c r="U18" i="1"/>
  <c r="U17" i="1"/>
  <c r="U16" i="1"/>
  <c r="T18" i="1"/>
  <c r="T17" i="1"/>
  <c r="T16" i="1"/>
  <c r="O48" i="1"/>
  <c r="P48" i="1"/>
  <c r="J53" i="1"/>
  <c r="L48" i="1" s="1"/>
  <c r="R48" i="1"/>
  <c r="N48" i="1"/>
  <c r="U48" i="1"/>
  <c r="X14" i="1"/>
  <c r="X46" i="1"/>
  <c r="V78" i="1" l="1"/>
  <c r="V77" i="1"/>
  <c r="V20" i="1"/>
  <c r="V22" i="1" s="1"/>
  <c r="J54" i="1"/>
  <c r="K49" i="1" s="1"/>
  <c r="O69" i="1"/>
  <c r="O75" i="1" s="1"/>
  <c r="O77" i="1" s="1"/>
  <c r="O71" i="1" s="1"/>
  <c r="M69" i="1"/>
  <c r="M75" i="1" s="1"/>
  <c r="M77" i="1" s="1"/>
  <c r="M71" i="1" s="1"/>
  <c r="K69" i="1"/>
  <c r="K75" i="1" s="1"/>
  <c r="K77" i="1" s="1"/>
  <c r="K71" i="1" s="1"/>
  <c r="S69" i="1"/>
  <c r="S75" i="1" s="1"/>
  <c r="S77" i="1" s="1"/>
  <c r="S71" i="1" s="1"/>
  <c r="N69" i="1"/>
  <c r="N75" i="1" s="1"/>
  <c r="N77" i="1" s="1"/>
  <c r="J69" i="1"/>
  <c r="J75" i="1" s="1"/>
  <c r="J78" i="1" s="1"/>
  <c r="K70" i="1" s="1"/>
  <c r="Q69" i="1"/>
  <c r="Q75" i="1" s="1"/>
  <c r="Q77" i="1" s="1"/>
  <c r="L69" i="1"/>
  <c r="L75" i="1" s="1"/>
  <c r="L78" i="1" s="1"/>
  <c r="M70" i="1" s="1"/>
  <c r="T69" i="1"/>
  <c r="T75" i="1" s="1"/>
  <c r="T78" i="1" s="1"/>
  <c r="U70" i="1" s="1"/>
  <c r="U69" i="1"/>
  <c r="U75" i="1" s="1"/>
  <c r="U78" i="1" s="1"/>
  <c r="V70" i="1" s="1"/>
  <c r="P69" i="1"/>
  <c r="P75" i="1" s="1"/>
  <c r="P78" i="1" s="1"/>
  <c r="Q70" i="1" s="1"/>
  <c r="R69" i="1"/>
  <c r="R75" i="1" s="1"/>
  <c r="R77" i="1" s="1"/>
  <c r="R71" i="1" s="1"/>
  <c r="R60" i="1"/>
  <c r="S62" i="1" s="1"/>
  <c r="K48" i="1"/>
  <c r="X48" i="1" s="1"/>
  <c r="M60" i="1"/>
  <c r="N62" i="1" s="1"/>
  <c r="L60" i="1"/>
  <c r="M62" i="1" s="1"/>
  <c r="O60" i="1"/>
  <c r="P62" i="1" s="1"/>
  <c r="T20" i="1"/>
  <c r="T22" i="1" s="1"/>
  <c r="T23" i="1" s="1"/>
  <c r="U60" i="1"/>
  <c r="J49" i="1"/>
  <c r="X53" i="1"/>
  <c r="Q60" i="1"/>
  <c r="R62" i="1" s="1"/>
  <c r="R20" i="1"/>
  <c r="R22" i="1" s="1"/>
  <c r="J20" i="1"/>
  <c r="J22" i="1" s="1"/>
  <c r="K60" i="1"/>
  <c r="L62" i="1" s="1"/>
  <c r="L20" i="1"/>
  <c r="L22" i="1" s="1"/>
  <c r="L31" i="1" s="1"/>
  <c r="L33" i="1" s="1"/>
  <c r="Q20" i="1"/>
  <c r="Q22" i="1" s="1"/>
  <c r="Q31" i="1" s="1"/>
  <c r="S20" i="1"/>
  <c r="S22" i="1" s="1"/>
  <c r="S31" i="1" s="1"/>
  <c r="S33" i="1" s="1"/>
  <c r="S60" i="1"/>
  <c r="T62" i="1" s="1"/>
  <c r="J60" i="1"/>
  <c r="K62" i="1" s="1"/>
  <c r="N60" i="1"/>
  <c r="O62" i="1" s="1"/>
  <c r="U20" i="1"/>
  <c r="U22" i="1" s="1"/>
  <c r="U23" i="1" s="1"/>
  <c r="P60" i="1"/>
  <c r="Q62" i="1" s="1"/>
  <c r="O20" i="1"/>
  <c r="O22" i="1" s="1"/>
  <c r="T60" i="1"/>
  <c r="X17" i="1"/>
  <c r="M20" i="1"/>
  <c r="M22" i="1" s="1"/>
  <c r="K20" i="1"/>
  <c r="K22" i="1" s="1"/>
  <c r="P20" i="1"/>
  <c r="P22" i="1" s="1"/>
  <c r="X18" i="1"/>
  <c r="X16" i="1"/>
  <c r="N20" i="1"/>
  <c r="N22" i="1" s="1"/>
  <c r="K54" i="1"/>
  <c r="L49" i="1" s="1"/>
  <c r="L12" i="13" s="1"/>
  <c r="V23" i="1" l="1"/>
  <c r="V31" i="1"/>
  <c r="V80" i="1"/>
  <c r="V71" i="1"/>
  <c r="V19" i="13" s="1"/>
  <c r="U62" i="1"/>
  <c r="V62" i="1"/>
  <c r="V18" i="13" s="1"/>
  <c r="V23" i="13" s="1"/>
  <c r="Q78" i="1"/>
  <c r="R70" i="1" s="1"/>
  <c r="R19" i="13" s="1"/>
  <c r="U77" i="1"/>
  <c r="U71" i="1" s="1"/>
  <c r="U19" i="13" s="1"/>
  <c r="T77" i="1"/>
  <c r="T71" i="1" s="1"/>
  <c r="O78" i="1"/>
  <c r="P70" i="1" s="1"/>
  <c r="M78" i="1"/>
  <c r="N70" i="1" s="1"/>
  <c r="L77" i="1"/>
  <c r="L71" i="1" s="1"/>
  <c r="X69" i="1"/>
  <c r="S78" i="1"/>
  <c r="T70" i="1" s="1"/>
  <c r="K78" i="1"/>
  <c r="L70" i="1" s="1"/>
  <c r="N71" i="1"/>
  <c r="R78" i="1"/>
  <c r="S70" i="1" s="1"/>
  <c r="S19" i="13" s="1"/>
  <c r="P77" i="1"/>
  <c r="P71" i="1" s="1"/>
  <c r="J77" i="1"/>
  <c r="J80" i="1" s="1"/>
  <c r="M19" i="13"/>
  <c r="N78" i="1"/>
  <c r="O70" i="1" s="1"/>
  <c r="Q71" i="1"/>
  <c r="Q19" i="13" s="1"/>
  <c r="L14" i="13"/>
  <c r="R18" i="13"/>
  <c r="U18" i="13"/>
  <c r="Q18" i="13"/>
  <c r="N18" i="13"/>
  <c r="K18" i="13"/>
  <c r="O18" i="13"/>
  <c r="J12" i="13"/>
  <c r="P18" i="13"/>
  <c r="T18" i="13"/>
  <c r="S18" i="13"/>
  <c r="T31" i="1"/>
  <c r="T33" i="1" s="1"/>
  <c r="M18" i="13"/>
  <c r="K12" i="13"/>
  <c r="L18" i="13"/>
  <c r="J51" i="1"/>
  <c r="K45" i="1" s="1"/>
  <c r="K51" i="1" s="1"/>
  <c r="L45" i="1" s="1"/>
  <c r="L51" i="1" s="1"/>
  <c r="M45" i="1" s="1"/>
  <c r="Q23" i="1"/>
  <c r="U31" i="1"/>
  <c r="U33" i="1" s="1"/>
  <c r="K19" i="13"/>
  <c r="S23" i="1"/>
  <c r="X60" i="1"/>
  <c r="X20" i="1"/>
  <c r="L54" i="1"/>
  <c r="M49" i="1" s="1"/>
  <c r="S122" i="1"/>
  <c r="L122" i="1"/>
  <c r="L23" i="1"/>
  <c r="X62" i="1"/>
  <c r="R23" i="1"/>
  <c r="R31" i="1"/>
  <c r="R33" i="1" s="1"/>
  <c r="L35" i="1"/>
  <c r="L36" i="1" s="1"/>
  <c r="N31" i="1"/>
  <c r="N23" i="1"/>
  <c r="J23" i="1"/>
  <c r="X22" i="1"/>
  <c r="Q33" i="1"/>
  <c r="M31" i="1"/>
  <c r="M23" i="1"/>
  <c r="S35" i="1"/>
  <c r="S36" i="1" s="1"/>
  <c r="O23" i="1"/>
  <c r="O31" i="1"/>
  <c r="K23" i="1"/>
  <c r="K31" i="1"/>
  <c r="P23" i="1"/>
  <c r="P31" i="1"/>
  <c r="V33" i="1" l="1"/>
  <c r="V122" i="1" s="1"/>
  <c r="V35" i="1"/>
  <c r="V36" i="1" s="1"/>
  <c r="O80" i="1"/>
  <c r="Q80" i="1"/>
  <c r="T80" i="1"/>
  <c r="M80" i="1"/>
  <c r="L19" i="13"/>
  <c r="T19" i="13"/>
  <c r="N19" i="13"/>
  <c r="U80" i="1"/>
  <c r="L80" i="1"/>
  <c r="P19" i="13"/>
  <c r="J71" i="1"/>
  <c r="J73" i="1" s="1"/>
  <c r="K68" i="1" s="1"/>
  <c r="K73" i="1" s="1"/>
  <c r="L68" i="1" s="1"/>
  <c r="L73" i="1" s="1"/>
  <c r="M68" i="1" s="1"/>
  <c r="M73" i="1" s="1"/>
  <c r="N68" i="1" s="1"/>
  <c r="N73" i="1" s="1"/>
  <c r="O68" i="1" s="1"/>
  <c r="O73" i="1" s="1"/>
  <c r="P68" i="1" s="1"/>
  <c r="P73" i="1" s="1"/>
  <c r="Q68" i="1" s="1"/>
  <c r="Q73" i="1" s="1"/>
  <c r="R68" i="1" s="1"/>
  <c r="R73" i="1" s="1"/>
  <c r="S68" i="1" s="1"/>
  <c r="S73" i="1" s="1"/>
  <c r="T68" i="1" s="1"/>
  <c r="T73" i="1" s="1"/>
  <c r="U68" i="1" s="1"/>
  <c r="U73" i="1" s="1"/>
  <c r="V68" i="1" s="1"/>
  <c r="V73" i="1" s="1"/>
  <c r="X70" i="1"/>
  <c r="S80" i="1"/>
  <c r="O19" i="13"/>
  <c r="R80" i="1"/>
  <c r="U122" i="1"/>
  <c r="P80" i="1"/>
  <c r="K80" i="1"/>
  <c r="N80" i="1"/>
  <c r="Q23" i="13"/>
  <c r="U23" i="13"/>
  <c r="M23" i="13"/>
  <c r="R23" i="13"/>
  <c r="K14" i="13"/>
  <c r="X18" i="13"/>
  <c r="M12" i="13"/>
  <c r="S23" i="13"/>
  <c r="U35" i="1"/>
  <c r="U36" i="1" s="1"/>
  <c r="AK5" i="8"/>
  <c r="X23" i="1"/>
  <c r="M54" i="1"/>
  <c r="N49" i="1" s="1"/>
  <c r="R122" i="1"/>
  <c r="Q122" i="1"/>
  <c r="T122" i="1"/>
  <c r="M51" i="1"/>
  <c r="N45" i="1" s="1"/>
  <c r="R35" i="1"/>
  <c r="R36" i="1" s="1"/>
  <c r="Q35" i="1"/>
  <c r="Q36" i="1" s="1"/>
  <c r="P33" i="1"/>
  <c r="O33" i="1"/>
  <c r="M33" i="1"/>
  <c r="K33" i="1"/>
  <c r="T35" i="1"/>
  <c r="T36" i="1" s="1"/>
  <c r="N33" i="1"/>
  <c r="V123" i="1" l="1"/>
  <c r="X123" i="1" s="1"/>
  <c r="T23" i="13"/>
  <c r="O23" i="13"/>
  <c r="N23" i="13"/>
  <c r="P23" i="13"/>
  <c r="L23" i="13"/>
  <c r="L25" i="13" s="1"/>
  <c r="J19" i="13"/>
  <c r="X71" i="1"/>
  <c r="X73" i="1" s="1"/>
  <c r="U123" i="1"/>
  <c r="M14" i="13"/>
  <c r="M25" i="13" s="1"/>
  <c r="N12" i="13"/>
  <c r="N54" i="1"/>
  <c r="O54" i="1" s="1"/>
  <c r="T123" i="1"/>
  <c r="S123" i="1"/>
  <c r="O122" i="1"/>
  <c r="M122" i="1"/>
  <c r="P122" i="1"/>
  <c r="N122" i="1"/>
  <c r="K122" i="1"/>
  <c r="N51" i="1"/>
  <c r="O45" i="1" s="1"/>
  <c r="O35" i="1"/>
  <c r="O36" i="1" s="1"/>
  <c r="N35" i="1"/>
  <c r="N36" i="1" s="1"/>
  <c r="K35" i="1"/>
  <c r="K36" i="1" s="1"/>
  <c r="M35" i="1"/>
  <c r="M36" i="1" s="1"/>
  <c r="P35" i="1"/>
  <c r="P36" i="1" s="1"/>
  <c r="U31" i="13" l="1"/>
  <c r="V31" i="13"/>
  <c r="V33" i="13" s="1"/>
  <c r="X19" i="13"/>
  <c r="J23" i="13"/>
  <c r="U33" i="13"/>
  <c r="N14" i="13"/>
  <c r="N25" i="13" s="1"/>
  <c r="T31" i="13"/>
  <c r="S31" i="13"/>
  <c r="O49" i="1"/>
  <c r="Q123" i="1"/>
  <c r="O123" i="1"/>
  <c r="N123" i="1"/>
  <c r="R123" i="1"/>
  <c r="M123" i="1"/>
  <c r="P123" i="1"/>
  <c r="P49" i="1"/>
  <c r="P54" i="1"/>
  <c r="S33" i="13" l="1"/>
  <c r="T33" i="13"/>
  <c r="P31" i="13"/>
  <c r="P12" i="13"/>
  <c r="R31" i="13"/>
  <c r="O31" i="13"/>
  <c r="M31" i="13"/>
  <c r="N31" i="13"/>
  <c r="Q31" i="13"/>
  <c r="O12" i="13"/>
  <c r="O51" i="1"/>
  <c r="P45" i="1" s="1"/>
  <c r="P51" i="1" s="1"/>
  <c r="Q45" i="1" s="1"/>
  <c r="J14" i="13"/>
  <c r="J25" i="13" s="1"/>
  <c r="Q49" i="1"/>
  <c r="Q54" i="1"/>
  <c r="R33" i="13" l="1"/>
  <c r="Q33" i="13"/>
  <c r="P33" i="13"/>
  <c r="M33" i="13"/>
  <c r="M36" i="13" s="1"/>
  <c r="M43" i="13" s="1"/>
  <c r="O33" i="13"/>
  <c r="N33" i="13"/>
  <c r="N36" i="13" s="1"/>
  <c r="N43" i="13" s="1"/>
  <c r="O14" i="13"/>
  <c r="O25" i="13" s="1"/>
  <c r="P14" i="13"/>
  <c r="P25" i="13" s="1"/>
  <c r="Q12" i="13"/>
  <c r="Q51" i="1"/>
  <c r="R45" i="1" s="1"/>
  <c r="R49" i="1"/>
  <c r="R54" i="1"/>
  <c r="P36" i="13" l="1"/>
  <c r="P43" i="13" s="1"/>
  <c r="O36" i="13"/>
  <c r="O43" i="13" s="1"/>
  <c r="Q14" i="13"/>
  <c r="Q25" i="13" s="1"/>
  <c r="Q36" i="13" s="1"/>
  <c r="Q43" i="13" s="1"/>
  <c r="R12" i="13"/>
  <c r="R51" i="1"/>
  <c r="S45" i="1" s="1"/>
  <c r="S49" i="1"/>
  <c r="S54" i="1"/>
  <c r="R14" i="13" l="1"/>
  <c r="R25" i="13" s="1"/>
  <c r="R36" i="13" s="1"/>
  <c r="R43" i="13" s="1"/>
  <c r="S12" i="13"/>
  <c r="S51" i="1"/>
  <c r="T45" i="1" s="1"/>
  <c r="T49" i="1"/>
  <c r="T54" i="1"/>
  <c r="S14" i="13" l="1"/>
  <c r="S25" i="13" s="1"/>
  <c r="S36" i="13" s="1"/>
  <c r="S43" i="13" s="1"/>
  <c r="T12" i="13"/>
  <c r="T51" i="1"/>
  <c r="U45" i="1" s="1"/>
  <c r="U49" i="1"/>
  <c r="U54" i="1"/>
  <c r="V54" i="1" l="1"/>
  <c r="X54" i="1" s="1"/>
  <c r="V49" i="1"/>
  <c r="V12" i="13" s="1"/>
  <c r="V14" i="13" s="1"/>
  <c r="V25" i="13" s="1"/>
  <c r="V36" i="13" s="1"/>
  <c r="V43" i="13" s="1"/>
  <c r="T14" i="13"/>
  <c r="T25" i="13" s="1"/>
  <c r="T36" i="13" s="1"/>
  <c r="T43" i="13" s="1"/>
  <c r="U12" i="13"/>
  <c r="X49" i="1"/>
  <c r="X51" i="1" s="1"/>
  <c r="U51" i="1"/>
  <c r="V45" i="1" s="1"/>
  <c r="V51" i="1" s="1"/>
  <c r="F12" i="11"/>
  <c r="I64" i="1" s="1"/>
  <c r="J59" i="1" s="1"/>
  <c r="O23" i="8"/>
  <c r="O24" i="8"/>
  <c r="O26" i="8"/>
  <c r="O25" i="8"/>
  <c r="U14" i="13" l="1"/>
  <c r="U25" i="13" s="1"/>
  <c r="U36" i="13" s="1"/>
  <c r="U43" i="13" s="1"/>
  <c r="X12" i="13"/>
  <c r="X59" i="1"/>
  <c r="X64" i="1" s="1"/>
  <c r="J64" i="1"/>
  <c r="K59" i="1" s="1"/>
  <c r="K64" i="1" s="1"/>
  <c r="L59" i="1" s="1"/>
  <c r="L64" i="1" s="1"/>
  <c r="M59" i="1" s="1"/>
  <c r="M64" i="1" s="1"/>
  <c r="N59" i="1" s="1"/>
  <c r="N64" i="1" s="1"/>
  <c r="O59" i="1" s="1"/>
  <c r="O64" i="1" s="1"/>
  <c r="P59" i="1" s="1"/>
  <c r="P64" i="1" s="1"/>
  <c r="Q59" i="1" s="1"/>
  <c r="Q64" i="1" s="1"/>
  <c r="R59" i="1" s="1"/>
  <c r="R64" i="1" s="1"/>
  <c r="S59" i="1" s="1"/>
  <c r="S64" i="1" s="1"/>
  <c r="T59" i="1" s="1"/>
  <c r="T64" i="1" s="1"/>
  <c r="U59" i="1" s="1"/>
  <c r="U64" i="1" s="1"/>
  <c r="V59" i="1" s="1"/>
  <c r="V64" i="1" s="1"/>
  <c r="O28" i="8"/>
  <c r="J28" i="1" l="1"/>
  <c r="X28" i="1"/>
  <c r="X14" i="13"/>
  <c r="J98" i="1"/>
  <c r="K99" i="1" s="1"/>
  <c r="J31" i="1" l="1"/>
  <c r="K21" i="13"/>
  <c r="X31" i="1"/>
  <c r="J33" i="1"/>
  <c r="X99" i="1"/>
  <c r="X21" i="13"/>
  <c r="X98" i="1"/>
  <c r="J101" i="1"/>
  <c r="K97" i="1" s="1"/>
  <c r="K101" i="1" s="1"/>
  <c r="L97" i="1" s="1"/>
  <c r="L101" i="1" s="1"/>
  <c r="M97" i="1" s="1"/>
  <c r="M101" i="1" s="1"/>
  <c r="N97" i="1" s="1"/>
  <c r="N101" i="1" s="1"/>
  <c r="O97" i="1" s="1"/>
  <c r="O101" i="1" s="1"/>
  <c r="P97" i="1" s="1"/>
  <c r="P101" i="1" s="1"/>
  <c r="Q97" i="1" s="1"/>
  <c r="Q101" i="1" s="1"/>
  <c r="R97" i="1" s="1"/>
  <c r="R101" i="1" s="1"/>
  <c r="S97" i="1" s="1"/>
  <c r="S101" i="1" s="1"/>
  <c r="T97" i="1" s="1"/>
  <c r="T101" i="1" s="1"/>
  <c r="U97" i="1" s="1"/>
  <c r="U101" i="1" s="1"/>
  <c r="V97" i="1" s="1"/>
  <c r="V101" i="1" s="1"/>
  <c r="J35" i="1" l="1"/>
  <c r="J36" i="1" s="1"/>
  <c r="K23" i="13"/>
  <c r="K25" i="13" s="1"/>
  <c r="X101" i="1"/>
  <c r="X35" i="1"/>
  <c r="X36" i="1" s="1"/>
  <c r="X33" i="1"/>
  <c r="J122" i="1"/>
  <c r="X23" i="13"/>
  <c r="J123" i="1" l="1"/>
  <c r="K123" i="1"/>
  <c r="X122" i="1"/>
  <c r="X125" i="1" s="1"/>
  <c r="L123" i="1"/>
  <c r="X25" i="13"/>
  <c r="J125" i="1" l="1"/>
  <c r="K121" i="1" s="1"/>
  <c r="K125" i="1" s="1"/>
  <c r="L121" i="1" s="1"/>
  <c r="L125" i="1" s="1"/>
  <c r="M121" i="1" s="1"/>
  <c r="M125" i="1" s="1"/>
  <c r="N121" i="1" s="1"/>
  <c r="N125" i="1" s="1"/>
  <c r="O121" i="1" s="1"/>
  <c r="O125" i="1" s="1"/>
  <c r="P121" i="1" s="1"/>
  <c r="P125" i="1" s="1"/>
  <c r="Q121" i="1" s="1"/>
  <c r="Q125" i="1" s="1"/>
  <c r="R121" i="1" s="1"/>
  <c r="R125" i="1" s="1"/>
  <c r="S121" i="1" s="1"/>
  <c r="S125" i="1" s="1"/>
  <c r="T121" i="1" s="1"/>
  <c r="T125" i="1" s="1"/>
  <c r="U121" i="1" s="1"/>
  <c r="U125" i="1" s="1"/>
  <c r="V121" i="1" s="1"/>
  <c r="V125" i="1" s="1"/>
  <c r="L31" i="13"/>
  <c r="K31" i="13"/>
  <c r="J129" i="1"/>
  <c r="J31" i="13"/>
  <c r="J128" i="1"/>
  <c r="J33" i="13" l="1"/>
  <c r="J36" i="13" s="1"/>
  <c r="J43" i="13" s="1"/>
  <c r="L33" i="13"/>
  <c r="L36" i="13" s="1"/>
  <c r="L43" i="13" s="1"/>
  <c r="K33" i="13"/>
  <c r="K36" i="13" s="1"/>
  <c r="K43" i="13" s="1"/>
  <c r="X31" i="13"/>
  <c r="J131" i="1"/>
  <c r="K127" i="1" s="1"/>
  <c r="K129" i="1" s="1"/>
  <c r="X43" i="13" l="1"/>
  <c r="AN5" i="8" s="1"/>
  <c r="X36" i="13"/>
  <c r="X33" i="13"/>
  <c r="K128" i="1"/>
  <c r="K131" i="1" s="1"/>
  <c r="L127" i="1" s="1"/>
  <c r="L129" i="1" s="1"/>
  <c r="L128" i="1" l="1"/>
  <c r="L131" i="1" s="1"/>
  <c r="M127" i="1" s="1"/>
  <c r="M129" i="1" s="1"/>
  <c r="M128" i="1" l="1"/>
  <c r="M131" i="1" s="1"/>
  <c r="N127" i="1" s="1"/>
  <c r="N129" i="1" l="1"/>
  <c r="N128" i="1"/>
  <c r="N131" i="1" l="1"/>
  <c r="O127" i="1" s="1"/>
  <c r="O129" i="1" s="1"/>
  <c r="O128" i="1" l="1"/>
  <c r="O131" i="1" s="1"/>
  <c r="P127" i="1" s="1"/>
  <c r="P128" i="1" s="1"/>
  <c r="P129" i="1" l="1"/>
  <c r="P131" i="1" s="1"/>
  <c r="Q127" i="1" s="1"/>
  <c r="Q128" i="1" l="1"/>
  <c r="Q129" i="1"/>
  <c r="Q131" i="1" l="1"/>
  <c r="R127" i="1" s="1"/>
  <c r="R129" i="1" l="1"/>
  <c r="R128" i="1"/>
  <c r="R131" i="1" l="1"/>
  <c r="S127" i="1" s="1"/>
  <c r="S129" i="1" s="1"/>
  <c r="S128" i="1" l="1"/>
  <c r="S131" i="1" s="1"/>
  <c r="T127" i="1" s="1"/>
  <c r="T128" i="1" s="1"/>
  <c r="T129" i="1" l="1"/>
  <c r="T131" i="1" s="1"/>
  <c r="U127" i="1" s="1"/>
  <c r="U129" i="1" s="1"/>
  <c r="U128" i="1" l="1"/>
  <c r="U131" i="1" s="1"/>
  <c r="V127" i="1" s="1"/>
  <c r="V129" i="1" s="1"/>
  <c r="V128" i="1" l="1"/>
  <c r="V13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<sst xmlns="http://schemas.openxmlformats.org/spreadsheetml/2006/main" count="1127" uniqueCount="440">
  <si>
    <t xml:space="preserve"> A/R Beg. Bal.</t>
  </si>
  <si>
    <t>+ Sales</t>
  </si>
  <si>
    <t>COGS</t>
  </si>
  <si>
    <t>Total Sales</t>
  </si>
  <si>
    <t>Total COGS</t>
  </si>
  <si>
    <t>Gross Profit</t>
  </si>
  <si>
    <t>Fcst</t>
  </si>
  <si>
    <t>Act</t>
  </si>
  <si>
    <t>Fcst / Act</t>
  </si>
  <si>
    <t>Month #</t>
  </si>
  <si>
    <t>Total</t>
  </si>
  <si>
    <t>Month Ending</t>
  </si>
  <si>
    <t xml:space="preserve"> </t>
  </si>
  <si>
    <t>Sales</t>
  </si>
  <si>
    <t>Monthly Timing:</t>
  </si>
  <si>
    <t>Transaction Date</t>
  </si>
  <si>
    <t>A/R Collection (Model Date)</t>
  </si>
  <si>
    <t>A/R Collection (Exact Date)</t>
  </si>
  <si>
    <t>Model Mapping:</t>
  </si>
  <si>
    <t>Adjusted Transaction Date</t>
  </si>
  <si>
    <t>Low</t>
  </si>
  <si>
    <t>Mid</t>
  </si>
  <si>
    <t>High</t>
  </si>
  <si>
    <t xml:space="preserve"> A/R End. Bal.</t>
  </si>
  <si>
    <t xml:space="preserve"> A/P Beg. Bal.</t>
  </si>
  <si>
    <t>+ Costs</t>
  </si>
  <si>
    <t xml:space="preserve"> A/P End. Bal.</t>
  </si>
  <si>
    <t>Company  Name</t>
  </si>
  <si>
    <t>Currency Disclaimer</t>
  </si>
  <si>
    <t>Accounts Receivable</t>
  </si>
  <si>
    <t>Accounts Payable</t>
  </si>
  <si>
    <t>Salary</t>
  </si>
  <si>
    <t>Deductions</t>
  </si>
  <si>
    <t>Tax Rate</t>
  </si>
  <si>
    <t>Alexander Thornton</t>
  </si>
  <si>
    <t>Finance</t>
  </si>
  <si>
    <t>HR</t>
  </si>
  <si>
    <t>Benjamin Caldwell</t>
  </si>
  <si>
    <t>IT</t>
  </si>
  <si>
    <t>Charlotte Whitaker</t>
  </si>
  <si>
    <t>Accountant</t>
  </si>
  <si>
    <t>Olivia Winslow</t>
  </si>
  <si>
    <t>HR Director</t>
  </si>
  <si>
    <t>Henry Lancaster</t>
  </si>
  <si>
    <t>Data Analyst</t>
  </si>
  <si>
    <t>Sophia Bennett</t>
  </si>
  <si>
    <t>Lucas Sterling</t>
  </si>
  <si>
    <t>IT Manager</t>
  </si>
  <si>
    <t>Amelia Townsend</t>
  </si>
  <si>
    <t>Marketing</t>
  </si>
  <si>
    <t>Operations Manager</t>
  </si>
  <si>
    <t>Operations</t>
  </si>
  <si>
    <t>Daniel Harrington</t>
  </si>
  <si>
    <t>Purchasing Lead</t>
  </si>
  <si>
    <t>Purchasing</t>
  </si>
  <si>
    <t>Jessica Coleman</t>
  </si>
  <si>
    <t>Product Manager</t>
  </si>
  <si>
    <t>Product Development</t>
  </si>
  <si>
    <t>Jennifer Chen</t>
  </si>
  <si>
    <t>Owner</t>
  </si>
  <si>
    <t>Exec</t>
  </si>
  <si>
    <t>Salaries (net)</t>
  </si>
  <si>
    <t>Currency Denominator</t>
  </si>
  <si>
    <t>Bonuses</t>
  </si>
  <si>
    <t>Net Income</t>
  </si>
  <si>
    <t>Taxes</t>
  </si>
  <si>
    <t>Pretax Income</t>
  </si>
  <si>
    <t>Rent</t>
  </si>
  <si>
    <t>1 - Beginning</t>
  </si>
  <si>
    <t>2 - Middle</t>
  </si>
  <si>
    <t>3 - End</t>
  </si>
  <si>
    <t>Uncollectable Reserve %</t>
  </si>
  <si>
    <t>Collect Reserve?</t>
  </si>
  <si>
    <t>+ Salary Expense</t>
  </si>
  <si>
    <t>+ Bonus Accrued</t>
  </si>
  <si>
    <t>- Bonus Paid</t>
  </si>
  <si>
    <t>SGA</t>
  </si>
  <si>
    <t>TAX</t>
  </si>
  <si>
    <t>Cuong Dao</t>
  </si>
  <si>
    <t>Financial Analyst</t>
  </si>
  <si>
    <t>Marketing Manager</t>
  </si>
  <si>
    <t>Pro_Rata_Bonus</t>
  </si>
  <si>
    <t>Net_Salary</t>
  </si>
  <si>
    <t>Annual_Bonus</t>
  </si>
  <si>
    <t>Pay_Bonus?</t>
  </si>
  <si>
    <t>Employee_ID</t>
  </si>
  <si>
    <t>Employee_Name</t>
  </si>
  <si>
    <t>Job_Title</t>
  </si>
  <si>
    <t>Job_Category</t>
  </si>
  <si>
    <t>Start_Date</t>
  </si>
  <si>
    <t>End_Date</t>
  </si>
  <si>
    <t>1/31/2025</t>
  </si>
  <si>
    <t>2/28/2025</t>
  </si>
  <si>
    <t>3/31/2025</t>
  </si>
  <si>
    <t>5/31/2025</t>
  </si>
  <si>
    <t>7/31/2025</t>
  </si>
  <si>
    <t>8/31/2025</t>
  </si>
  <si>
    <t>9/30/2025</t>
  </si>
  <si>
    <t>10/31/2025</t>
  </si>
  <si>
    <t>11/30/2025</t>
  </si>
  <si>
    <t>12/31/2025</t>
  </si>
  <si>
    <t>4/30/2025</t>
  </si>
  <si>
    <t>6/30/2025</t>
  </si>
  <si>
    <t>Bonus_Month</t>
  </si>
  <si>
    <t>Payroll</t>
  </si>
  <si>
    <t>Accrued Payroll Beg. Balance</t>
  </si>
  <si>
    <t xml:space="preserve"> Accrued Payroll End. Balance</t>
  </si>
  <si>
    <t>Accrued Bonus Beg. Balance</t>
  </si>
  <si>
    <t xml:space="preserve"> Accrued Bonus End. Balance</t>
  </si>
  <si>
    <t>- Current Month Payroll Paid</t>
  </si>
  <si>
    <t>- Prior Month Payroll Paid</t>
  </si>
  <si>
    <t>Leslie Barrington</t>
  </si>
  <si>
    <t>Corporate</t>
  </si>
  <si>
    <t>Retail</t>
  </si>
  <si>
    <t>eCommerce</t>
  </si>
  <si>
    <t>Utilities</t>
  </si>
  <si>
    <t>Hire</t>
  </si>
  <si>
    <t>Bonus Month</t>
  </si>
  <si>
    <t>Chef</t>
  </si>
  <si>
    <t>Culinary</t>
  </si>
  <si>
    <t>Procurement Manager</t>
  </si>
  <si>
    <t>Baker</t>
  </si>
  <si>
    <t>Web Developer</t>
  </si>
  <si>
    <t>Production Engineer</t>
  </si>
  <si>
    <t>Salesperson</t>
  </si>
  <si>
    <t>Marketing Analyst</t>
  </si>
  <si>
    <t>Account Executive</t>
  </si>
  <si>
    <t>CFO</t>
  </si>
  <si>
    <t>Interim CFO</t>
  </si>
  <si>
    <t>Chocolatier</t>
  </si>
  <si>
    <t>Logistics Analyst</t>
  </si>
  <si>
    <t>Facilities Manager</t>
  </si>
  <si>
    <t>Omar Nkrumah</t>
  </si>
  <si>
    <t>Neha Patel</t>
  </si>
  <si>
    <t>Kenji Takahashi</t>
  </si>
  <si>
    <t>Diego Monteiro</t>
  </si>
  <si>
    <t>Zanele Dhamini</t>
  </si>
  <si>
    <t>Hassan Al-Mansour</t>
  </si>
  <si>
    <t>Scott Perkins</t>
  </si>
  <si>
    <t>Hebba El-Sayed</t>
  </si>
  <si>
    <t>Bonus %</t>
  </si>
  <si>
    <t>Gas</t>
  </si>
  <si>
    <t>Electric</t>
  </si>
  <si>
    <t>Water</t>
  </si>
  <si>
    <t>Refuse</t>
  </si>
  <si>
    <t>Active</t>
  </si>
  <si>
    <t>Barrington Facility</t>
  </si>
  <si>
    <t>Total Rent</t>
  </si>
  <si>
    <t>Total Utilities</t>
  </si>
  <si>
    <t>SALES</t>
  </si>
  <si>
    <t>Accrued Taxes Beg. Balance</t>
  </si>
  <si>
    <t>+ Tax Expense</t>
  </si>
  <si>
    <t>- Tax Paid</t>
  </si>
  <si>
    <t>Accrued Taxes End. Balance</t>
  </si>
  <si>
    <t>Payment Month?</t>
  </si>
  <si>
    <t>NFL Confidential</t>
  </si>
  <si>
    <t>Sweet Haven Market</t>
  </si>
  <si>
    <t>The Chocolate Loft</t>
  </si>
  <si>
    <t>Bella’s Fine Chocolates</t>
  </si>
  <si>
    <t>Cozy Cocoa Boutique</t>
  </si>
  <si>
    <t>Maple Grove Sweet Shop</t>
  </si>
  <si>
    <t>The Golden Truffle</t>
  </si>
  <si>
    <t>Cocoa Bliss Delights</t>
  </si>
  <si>
    <t>Sugar &amp; Spice Emporium</t>
  </si>
  <si>
    <t>The Velvet Cacao Bar</t>
  </si>
  <si>
    <t>ChocoCharm Patisserie</t>
  </si>
  <si>
    <t>Frosted Delights Café</t>
  </si>
  <si>
    <t>Artisan Sweets &amp; Treats</t>
  </si>
  <si>
    <t>Little Luxuries Candy Shop</t>
  </si>
  <si>
    <t>Midnight Cocoa Bar</t>
  </si>
  <si>
    <t>Luxe Bites Chocolaterie</t>
  </si>
  <si>
    <t>The Cocoa Nook</t>
  </si>
  <si>
    <t>Heavenly Chocolate Co.</t>
  </si>
  <si>
    <t>Moonlit Truffles</t>
  </si>
  <si>
    <t>The Cocoa Cabin</t>
  </si>
  <si>
    <t>The Sweet Spot Confections</t>
  </si>
  <si>
    <t>Pure Indulgence Chocolates</t>
  </si>
  <si>
    <t>Delish Chocolate Boutique</t>
  </si>
  <si>
    <t>The Gourmet Ganache Shop</t>
  </si>
  <si>
    <t>Heritage Cocoa Creations</t>
  </si>
  <si>
    <t>Brown Sugar &amp; Bliss</t>
  </si>
  <si>
    <t>Gilded Cacao House</t>
  </si>
  <si>
    <t>Sugar Rush Specialty Shop</t>
  </si>
  <si>
    <t>Indulge Artisan Sweets</t>
  </si>
  <si>
    <t>The Chocolate Emporium</t>
  </si>
  <si>
    <t>Truffle Temptations</t>
  </si>
  <si>
    <t>Urban Cocoa Collective</t>
  </si>
  <si>
    <t>Meltaway Chocolate Haven</t>
  </si>
  <si>
    <t>Whimsical Sweets &amp; Treats</t>
  </si>
  <si>
    <t>Old Town Chocolate Works</t>
  </si>
  <si>
    <t>Divine Cocoa Creations</t>
  </si>
  <si>
    <t>Apex Foods Inc.</t>
  </si>
  <si>
    <t>Beacon Confections</t>
  </si>
  <si>
    <t>Summit Gourmet Supply</t>
  </si>
  <si>
    <t>Sterling Fine Foods</t>
  </si>
  <si>
    <t>Cascade Distributors</t>
  </si>
  <si>
    <t>Evergreen Specialty Foods</t>
  </si>
  <si>
    <t>Pinnacle Chocolates LLC</t>
  </si>
  <si>
    <t>Granite Corporate Catering</t>
  </si>
  <si>
    <t>Sequoia Imports</t>
  </si>
  <si>
    <t>Blue Horizon Delicacies</t>
  </si>
  <si>
    <t>Paramount Foodservice</t>
  </si>
  <si>
    <t>Crestline Premium Goods</t>
  </si>
  <si>
    <t>Highland Sweets Distributors</t>
  </si>
  <si>
    <t>Redwood Catering &amp; Events</t>
  </si>
  <si>
    <t>Orion Hospitality Group</t>
  </si>
  <si>
    <t>Vista Corporate Gifts</t>
  </si>
  <si>
    <t>Momentum Catering Solutions</t>
  </si>
  <si>
    <t>Meridian Food Wholesalers</t>
  </si>
  <si>
    <t>Silver Oak Fine Foods</t>
  </si>
  <si>
    <t>Everest Chocolate Group</t>
  </si>
  <si>
    <t>Sunrise Specialty Sweets</t>
  </si>
  <si>
    <t>Platinum Corporate Treats</t>
  </si>
  <si>
    <t>NorthStar Confections</t>
  </si>
  <si>
    <t>Coastal Gourmet Imports</t>
  </si>
  <si>
    <t>Frontier Foodservice</t>
  </si>
  <si>
    <t>Regal Sweets &amp; Snacks</t>
  </si>
  <si>
    <t>Landmark Luxury Goods</t>
  </si>
  <si>
    <t>Nova Gourmet Foods</t>
  </si>
  <si>
    <t>Boulder Chocolate Distributors</t>
  </si>
  <si>
    <t>Heritage Food Group</t>
  </si>
  <si>
    <t>Empire Fine Foods</t>
  </si>
  <si>
    <t>Horizon Corporate Gifting</t>
  </si>
  <si>
    <t>Prestige Catering &amp; Events</t>
  </si>
  <si>
    <t>Velocity Specialty Imports</t>
  </si>
  <si>
    <t>Alpine Wholesale Foods</t>
  </si>
  <si>
    <t>Prime Delicacies</t>
  </si>
  <si>
    <t>Titan Hospitality Supplies</t>
  </si>
  <si>
    <t>MyBarringtonChocolate.com</t>
  </si>
  <si>
    <t>Customer Name</t>
  </si>
  <si>
    <t>Category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</si>
  <si>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</si>
  <si>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</si>
  <si>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</si>
  <si>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</si>
  <si>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</si>
  <si>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</si>
  <si>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</si>
  <si>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</si>
  <si>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</si>
  <si>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</si>
  <si>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</si>
  <si>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</si>
  <si>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All figures in USD</t>
  </si>
  <si>
    <t>Raw Materials</t>
  </si>
  <si>
    <t>Notes</t>
  </si>
  <si>
    <t>Cocoa, Sugar, Dairy, Packaging, etc.</t>
  </si>
  <si>
    <t>Excelsior Energy</t>
  </si>
  <si>
    <t>Northwestern Gas</t>
  </si>
  <si>
    <t>Chicago, NYC, Miami Municipalities</t>
  </si>
  <si>
    <t>Universal Disposal Inc.</t>
  </si>
  <si>
    <t>10985 Newstone Blvd.</t>
  </si>
  <si>
    <t>Direct Labor</t>
  </si>
  <si>
    <t>Mfg OH</t>
  </si>
  <si>
    <t>Manufacturing Overheads</t>
  </si>
  <si>
    <t>Total Adv. + Mkting</t>
  </si>
  <si>
    <t>Signage</t>
  </si>
  <si>
    <t>Commercials</t>
  </si>
  <si>
    <t>Airports, Roadways</t>
  </si>
  <si>
    <t>Internet, Radio</t>
  </si>
  <si>
    <t>Tag</t>
  </si>
  <si>
    <t>Category:</t>
  </si>
  <si>
    <t>% of Total</t>
  </si>
  <si>
    <t>Tax (Benefit) / Expense</t>
  </si>
  <si>
    <t>Toggle</t>
  </si>
  <si>
    <t>Status</t>
  </si>
  <si>
    <t>Capex</t>
  </si>
  <si>
    <t>Direct Labor Beg. Balance</t>
  </si>
  <si>
    <t>Direct Labor End. Balance</t>
  </si>
  <si>
    <t>+ Direct Labor Expense</t>
  </si>
  <si>
    <t>Start Week #</t>
  </si>
  <si>
    <t>Weeks in Month</t>
  </si>
  <si>
    <t>- Prior Month Labor Paid</t>
  </si>
  <si>
    <t>- Current Month Labor Paid</t>
  </si>
  <si>
    <t>+ Capex Investments</t>
  </si>
  <si>
    <t>- Depreciation</t>
  </si>
  <si>
    <t>Capex Beg. Balance</t>
  </si>
  <si>
    <t>Capex End. Balance</t>
  </si>
  <si>
    <t>- Receipts on New Sales</t>
  </si>
  <si>
    <t>- Receipts on Uncollectables</t>
  </si>
  <si>
    <t>- Receipts on Aged A/R</t>
  </si>
  <si>
    <t>As of:</t>
  </si>
  <si>
    <t>Terms</t>
  </si>
  <si>
    <t>Invoice</t>
  </si>
  <si>
    <t>Invoice_Date</t>
  </si>
  <si>
    <t>Receipt_Date</t>
  </si>
  <si>
    <t>AR_Aging</t>
  </si>
  <si>
    <t>Customer_Name</t>
  </si>
  <si>
    <t>Customer_ID</t>
  </si>
  <si>
    <t>- Payments on Aged A/P</t>
  </si>
  <si>
    <t>Vendor_ID</t>
  </si>
  <si>
    <t>Vendor_Name</t>
  </si>
  <si>
    <t>PO_Num</t>
  </si>
  <si>
    <t>PO_Date</t>
  </si>
  <si>
    <t>AP_Aging</t>
  </si>
  <si>
    <t>Pay_Date</t>
  </si>
  <si>
    <t>Hawthone Dairy</t>
  </si>
  <si>
    <t>Yeager Supply</t>
  </si>
  <si>
    <t>Chocolate National Supply</t>
  </si>
  <si>
    <t>ASRS Sugar</t>
  </si>
  <si>
    <t>Gladstone Flavor Enhancements</t>
  </si>
  <si>
    <t>Newberry Bakery Supply</t>
  </si>
  <si>
    <t>Open</t>
  </si>
  <si>
    <t>Accrued Expenses</t>
  </si>
  <si>
    <t>Accrued Expenses Beg. Balance</t>
  </si>
  <si>
    <t>+ Expenses Accrued</t>
  </si>
  <si>
    <t>- Expenses Paid</t>
  </si>
  <si>
    <t xml:space="preserve"> Accrued Expenses End. Balance</t>
  </si>
  <si>
    <t>Check</t>
  </si>
  <si>
    <t>Utilities Minimum Spend</t>
  </si>
  <si>
    <t>Assumes 100% of rent paid each month in advance</t>
  </si>
  <si>
    <t>Spend based upon sales forecast seasonality</t>
  </si>
  <si>
    <t>COGS% adjustable by inflation factor or anticipated price changes</t>
  </si>
  <si>
    <t>t</t>
  </si>
  <si>
    <t>EXP</t>
  </si>
  <si>
    <t>Accrued Exp Pmt (Exact Date)</t>
  </si>
  <si>
    <t>A/P Pmt (Exact Date)</t>
  </si>
  <si>
    <t>A/P Pmt (Model Date)</t>
  </si>
  <si>
    <t>Accrued Exp Pmt (Model Date)</t>
  </si>
  <si>
    <t>Prepaid Expenses</t>
  </si>
  <si>
    <t>Prepaid Expenses Beg. Balance</t>
  </si>
  <si>
    <t>+ Expenses Prepaid</t>
  </si>
  <si>
    <t>- Expenses Amortized</t>
  </si>
  <si>
    <t>Prepaid Expenses End. Balance</t>
  </si>
  <si>
    <t>PPD</t>
  </si>
  <si>
    <t>Prepaid Expense (Exact Date)</t>
  </si>
  <si>
    <t>Prepaid Expense (Model Date)</t>
  </si>
  <si>
    <t>Commercial Kitchen</t>
  </si>
  <si>
    <t>Tempering Machine</t>
  </si>
  <si>
    <t>Automatic Filler</t>
  </si>
  <si>
    <t>Initial Deposit</t>
  </si>
  <si>
    <t>1st Phase</t>
  </si>
  <si>
    <t>2nd Phase</t>
  </si>
  <si>
    <t>Timing</t>
  </si>
  <si>
    <t>CAPEX</t>
  </si>
  <si>
    <t>Payment</t>
  </si>
  <si>
    <t>Final Payment</t>
  </si>
  <si>
    <t>Cost</t>
  </si>
  <si>
    <t>Depreciation</t>
  </si>
  <si>
    <t>First Full Month</t>
  </si>
  <si>
    <t>DEPR</t>
  </si>
  <si>
    <t>Other Capex</t>
  </si>
  <si>
    <t>Capex Schedule</t>
  </si>
  <si>
    <t>Costs and Expenses Schedule</t>
  </si>
  <si>
    <t>AP Aging Schedule</t>
  </si>
  <si>
    <t>AR Aging Schedule</t>
  </si>
  <si>
    <t>Sales Forecast</t>
  </si>
  <si>
    <t>DL</t>
  </si>
  <si>
    <t>Months to Pay</t>
  </si>
  <si>
    <t>Direct Labor (Weekly)</t>
  </si>
  <si>
    <t>Labor Paid in Current Month</t>
  </si>
  <si>
    <t>Labor Paid in Next Month</t>
  </si>
  <si>
    <t>Total Direct Labor</t>
  </si>
  <si>
    <t>Aaron Reynolds</t>
  </si>
  <si>
    <t>Financial Forecast</t>
  </si>
  <si>
    <t>Net Cash Flow</t>
  </si>
  <si>
    <t>Total Cash Receipts</t>
  </si>
  <si>
    <t>Trade Receivables</t>
  </si>
  <si>
    <t>Raw Materials and Production</t>
  </si>
  <si>
    <t>Wages &amp; Benefits</t>
  </si>
  <si>
    <t>Total Operating Cash Disbursements</t>
  </si>
  <si>
    <t>Total Non-Operating Cash Disbursements</t>
  </si>
  <si>
    <t>Other Operating Expenses</t>
  </si>
  <si>
    <t>Facility Rent</t>
  </si>
  <si>
    <t>Operating Cash Flow</t>
  </si>
  <si>
    <t>Capital Expenditures</t>
  </si>
  <si>
    <t>NOL Available for Use</t>
  </si>
  <si>
    <t>Net Operating Loss (NOL) Carryforward Beg. Balance</t>
  </si>
  <si>
    <t>+ Quarterly NOL</t>
  </si>
  <si>
    <t>- NOL Used</t>
  </si>
  <si>
    <t>- Tax (Liability) / Asset</t>
  </si>
  <si>
    <t>Tax (Asset) / Liability End. Balance</t>
  </si>
  <si>
    <t>Taxes (Asset) / Liability Beg. Balance</t>
  </si>
  <si>
    <t>Salary Deductions</t>
  </si>
  <si>
    <t>Gwen Gallagher</t>
  </si>
  <si>
    <t>Salary Forecast</t>
  </si>
  <si>
    <t>Bonus Accrual Forecast</t>
  </si>
  <si>
    <t>Production wages, kitchen staff</t>
  </si>
  <si>
    <t>Hired?</t>
  </si>
  <si>
    <t>Salary_Total</t>
  </si>
  <si>
    <t>Bonus_Total</t>
  </si>
  <si>
    <t>Price Increase</t>
  </si>
  <si>
    <t>Gross Margin %</t>
  </si>
  <si>
    <t>Net Margin %</t>
  </si>
  <si>
    <t>Full-Time W2 Payroll Schedule</t>
  </si>
  <si>
    <t>- Payments on New Costs and Purchases</t>
  </si>
  <si>
    <t>Delay</t>
  </si>
  <si>
    <t>Depr</t>
  </si>
  <si>
    <t>Capex Included in Forecast:</t>
  </si>
  <si>
    <t>Debt Service Schedule</t>
  </si>
  <si>
    <t>Loan Amount</t>
  </si>
  <si>
    <t>Term (years)</t>
  </si>
  <si>
    <t>Beginning Date</t>
  </si>
  <si>
    <t>Interest Rate</t>
  </si>
  <si>
    <t>Interest Accrued (months)</t>
  </si>
  <si>
    <t>Periodic Payment (monthly)</t>
  </si>
  <si>
    <t>Period #</t>
  </si>
  <si>
    <t>Date</t>
  </si>
  <si>
    <t>Beginning</t>
  </si>
  <si>
    <t>Principal</t>
  </si>
  <si>
    <t>Paid</t>
  </si>
  <si>
    <t>To Pay</t>
  </si>
  <si>
    <t>Period</t>
  </si>
  <si>
    <t>Ending</t>
  </si>
  <si>
    <t>Interest</t>
  </si>
  <si>
    <t>Expense</t>
  </si>
  <si>
    <t>Periodic</t>
  </si>
  <si>
    <t>Loan</t>
  </si>
  <si>
    <t>Assumptions</t>
  </si>
  <si>
    <t>Cash Receipts (Operating):</t>
  </si>
  <si>
    <t>Cash Disbursements (Operating):</t>
  </si>
  <si>
    <t>Cash Disbursements (Non-Operating):</t>
  </si>
  <si>
    <t>Cash Flow (Pre-Financing)</t>
  </si>
  <si>
    <t>+ Equipment Financing</t>
  </si>
  <si>
    <t>- Loan Amortization</t>
  </si>
  <si>
    <t>- Loan Interest</t>
  </si>
  <si>
    <t>Scenario Manager</t>
  </si>
  <si>
    <t>A/R Collection Terms</t>
  </si>
  <si>
    <t>A/P Payment Terms</t>
  </si>
  <si>
    <t>Accrued Expense Terms</t>
  </si>
  <si>
    <t>Prepaid Expense Terms</t>
  </si>
  <si>
    <t>Pessimistic</t>
  </si>
  <si>
    <t>Base</t>
  </si>
  <si>
    <t>Optimistic</t>
  </si>
  <si>
    <t>Model Assumptions</t>
  </si>
  <si>
    <t>Case Assump.</t>
  </si>
  <si>
    <t>Monthly Cash Flow Forecast</t>
  </si>
  <si>
    <t>Net Cash Flows</t>
  </si>
  <si>
    <t>RM%</t>
  </si>
  <si>
    <t>NFL Sales</t>
  </si>
  <si>
    <t>Hiring</t>
  </si>
  <si>
    <t>Kitchen</t>
  </si>
  <si>
    <t>Capex:</t>
  </si>
  <si>
    <t>Tempering</t>
  </si>
  <si>
    <t>Filler</t>
  </si>
  <si>
    <t>Financing</t>
  </si>
  <si>
    <t>Jan-26</t>
  </si>
  <si>
    <t>1/31/2026</t>
  </si>
  <si>
    <t>Candy Maker</t>
  </si>
  <si>
    <t>Pinnacle Supplier DBA Candy Confection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</si>
</sst>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\-yy;@"/>
    <numFmt numFmtId="165" formatCode="_(* #,##0_);_(* \(#,##0\);_(* &quot;-&quot;??_);_(@_)"/>
    <numFmt numFmtId="166" formatCode="0.0%"/>
    <numFmt numFmtId="167" formatCode="m/d;@"/>
    <numFmt numFmtId="168" formatCode="0\ &quot;days&quot;"/>
    <numFmt numFmtId="169" formatCode="_(&quot;$&quot;* #,##0_);_(&quot;$&quot;* \(#,##0\);_(&quot;$&quot;* &quot;-&quot;??_);_(@_)"/>
    <numFmt numFmtId="170" formatCode="mm/dd/yy;@"/>
    <numFmt numFmtId="171" formatCode="#,##0_ &quot;years&quot;"/>
    <numFmt numFmtId="172" formatCode="#,##0_);\(#,##0\);* &quot;-&quot;_)"/>
    <numFmt numFmtId="173" formatCode="_(* #,##0_);_(* \(#,##0\);_(* &quot;-&quot;?_);_(@_)"/>
  </numFmts>
  <fonts count="2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Roboto"/>
    </font>
    <font>
      <sz val="10"/>
      <color theme="1"/>
      <name val="Roboto"/>
    </font>
    <font>
      <sz val="10"/>
      <color rgb="FF0000FF"/>
      <name val="Roboto"/>
    </font>
    <font>
      <u val="singleAccounting"/>
      <sz val="10"/>
      <color theme="1"/>
      <name val="Roboto"/>
    </font>
    <font>
      <b/>
      <sz val="14"/>
      <color theme="1"/>
      <name val="Roboto"/>
    </font>
    <font>
      <sz val="10"/>
      <color theme="0"/>
      <name val="Roboto"/>
    </font>
    <font>
      <b/>
      <sz val="10"/>
      <color theme="0"/>
      <name val="Roboto"/>
    </font>
    <font>
      <b/>
      <sz val="10"/>
      <name val="Roboto"/>
    </font>
    <font>
      <sz val="10"/>
      <name val="Roboto"/>
    </font>
    <font>
      <b/>
      <sz val="10"/>
      <color rgb="FF0000FF"/>
      <name val="Roboto"/>
    </font>
    <font>
      <b/>
      <sz val="10"/>
      <color theme="1"/>
      <name val="Aptos Narrow"/>
      <family val="2"/>
      <scheme val="minor"/>
    </font>
    <font>
      <i/>
      <sz val="10"/>
      <color theme="1"/>
      <name val="Roboto"/>
    </font>
    <font>
      <i/>
      <sz val="11"/>
      <color theme="1"/>
      <name val="Aptos Narrow"/>
      <family val="2"/>
      <scheme val="minor"/>
    </font>
    <font>
      <i/>
      <sz val="8"/>
      <color theme="1"/>
      <name val="Roboto"/>
    </font>
    <font>
      <b/>
      <i/>
      <sz val="10"/>
      <color theme="1"/>
      <name val="Roboto"/>
    </font>
    <font>
      <sz val="8"/>
      <name val="Aptos Narrow"/>
      <family val="2"/>
      <scheme val="minor"/>
    </font>
    <font>
      <b/>
      <i/>
      <sz val="10"/>
      <name val="Roboto"/>
    </font>
    <font>
      <b/>
      <sz val="12"/>
      <color theme="1"/>
      <name val="Roboto"/>
    </font>
    <font>
      <sz val="8"/>
      <color rgb="FF000000"/>
      <name val="Segoe UI"/>
      <family val="2"/>
    </font>
    <font>
      <b/>
      <sz val="8"/>
      <color theme="1"/>
      <name val="Roboto"/>
    </font>
    <font>
      <sz val="10"/>
      <color rgb="FF0000FF"/>
      <name val="Wingdings 3"/>
      <family val="1"/>
      <charset val="2"/>
    </font>
    <font>
      <u val="doubleAccounting"/>
      <sz val="10"/>
      <color theme="1"/>
      <name val="Roboto"/>
    </font>
    <font>
      <sz val="11"/>
      <color theme="0"/>
      <name val="Aptos Narrow"/>
      <family val="2"/>
      <scheme val="minor"/>
    </font>
    <font>
      <b/>
      <sz val="11"/>
      <color theme="1"/>
      <name val="Roboto"/>
    </font>
    <font>
      <sz val="11"/>
      <color theme="1"/>
      <name val="Roboto"/>
    </font>
    <font>
      <sz val="10"/>
      <color rgb="FF00B050"/>
      <name val="Roboto"/>
    </font>
  </fonts>
  <fills count="1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 tint="0.59996337778862885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theme="4" tint="0.39997558519241921"/>
      </right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4" tint="0.39997558519241921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1" fontId="4" fillId="0" borderId="0" xfId="0" applyNumberFormat="1" applyFont="1"/>
    <xf numFmtId="41" fontId="3" fillId="0" borderId="0" xfId="0" applyNumberFormat="1" applyFont="1"/>
    <xf numFmtId="41" fontId="6" fillId="0" borderId="0" xfId="0" applyNumberFormat="1" applyFont="1"/>
    <xf numFmtId="0" fontId="4" fillId="0" borderId="2" xfId="0" applyFont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168" fontId="5" fillId="2" borderId="2" xfId="0" applyNumberFormat="1" applyFont="1" applyFill="1" applyBorder="1" applyAlignment="1">
      <alignment horizontal="center"/>
    </xf>
    <xf numFmtId="0" fontId="4" fillId="0" borderId="0" xfId="0" quotePrefix="1" applyFont="1"/>
    <xf numFmtId="37" fontId="4" fillId="0" borderId="0" xfId="1" applyNumberFormat="1" applyFont="1" applyAlignment="1">
      <alignment horizontal="center"/>
    </xf>
    <xf numFmtId="0" fontId="4" fillId="0" borderId="0" xfId="0" quotePrefix="1" applyFont="1" applyAlignment="1">
      <alignment horizontal="left" indent="1"/>
    </xf>
    <xf numFmtId="0" fontId="7" fillId="0" borderId="0" xfId="0" applyFont="1"/>
    <xf numFmtId="0" fontId="9" fillId="0" borderId="0" xfId="0" applyFont="1"/>
    <xf numFmtId="0" fontId="8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center"/>
    </xf>
    <xf numFmtId="169" fontId="0" fillId="0" borderId="0" xfId="0" applyNumberFormat="1"/>
    <xf numFmtId="0" fontId="0" fillId="0" borderId="1" xfId="0" applyBorder="1"/>
    <xf numFmtId="164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 indent="1"/>
    </xf>
    <xf numFmtId="0" fontId="0" fillId="3" borderId="4" xfId="0" applyFill="1" applyBorder="1"/>
    <xf numFmtId="165" fontId="0" fillId="0" borderId="0" xfId="1" applyNumberFormat="1" applyFont="1"/>
    <xf numFmtId="0" fontId="4" fillId="0" borderId="5" xfId="0" applyFont="1" applyBorder="1"/>
    <xf numFmtId="0" fontId="5" fillId="2" borderId="6" xfId="0" applyFont="1" applyFill="1" applyBorder="1" applyAlignment="1">
      <alignment horizont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12" fillId="2" borderId="0" xfId="0" applyNumberFormat="1" applyFont="1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4" fillId="0" borderId="1" xfId="0" applyFont="1" applyBorder="1"/>
    <xf numFmtId="0" fontId="3" fillId="0" borderId="1" xfId="0" applyFont="1" applyBorder="1"/>
    <xf numFmtId="0" fontId="4" fillId="3" borderId="4" xfId="0" applyFont="1" applyFill="1" applyBorder="1"/>
    <xf numFmtId="0" fontId="3" fillId="3" borderId="4" xfId="0" applyFont="1" applyFill="1" applyBorder="1"/>
    <xf numFmtId="44" fontId="0" fillId="0" borderId="0" xfId="0" applyNumberFormat="1"/>
    <xf numFmtId="0" fontId="0" fillId="0" borderId="0" xfId="0" quotePrefix="1"/>
    <xf numFmtId="165" fontId="2" fillId="0" borderId="0" xfId="1" applyNumberFormat="1" applyFont="1"/>
    <xf numFmtId="0" fontId="10" fillId="2" borderId="4" xfId="0" applyFont="1" applyFill="1" applyBorder="1"/>
    <xf numFmtId="0" fontId="11" fillId="2" borderId="4" xfId="0" applyFont="1" applyFill="1" applyBorder="1"/>
    <xf numFmtId="165" fontId="3" fillId="0" borderId="0" xfId="1" applyNumberFormat="1" applyFont="1"/>
    <xf numFmtId="165" fontId="4" fillId="0" borderId="0" xfId="1" applyNumberFormat="1" applyFont="1"/>
    <xf numFmtId="0" fontId="3" fillId="0" borderId="5" xfId="0" applyFont="1" applyBorder="1"/>
    <xf numFmtId="0" fontId="5" fillId="2" borderId="7" xfId="0" applyFont="1" applyFill="1" applyBorder="1" applyAlignment="1">
      <alignment horizontal="center"/>
    </xf>
    <xf numFmtId="41" fontId="3" fillId="0" borderId="5" xfId="0" applyNumberFormat="1" applyFont="1" applyBorder="1"/>
    <xf numFmtId="0" fontId="4" fillId="0" borderId="5" xfId="0" quotePrefix="1" applyFont="1" applyBorder="1" applyAlignment="1">
      <alignment horizontal="left" indent="1"/>
    </xf>
    <xf numFmtId="0" fontId="5" fillId="0" borderId="5" xfId="0" applyFon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165" fontId="6" fillId="0" borderId="0" xfId="1" applyNumberFormat="1" applyFont="1"/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65" fontId="4" fillId="4" borderId="6" xfId="1" applyNumberFormat="1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0" fontId="4" fillId="0" borderId="1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0" fontId="3" fillId="5" borderId="4" xfId="0" applyFont="1" applyFill="1" applyBorder="1"/>
    <xf numFmtId="0" fontId="4" fillId="5" borderId="4" xfId="0" applyFont="1" applyFill="1" applyBorder="1"/>
    <xf numFmtId="0" fontId="14" fillId="0" borderId="0" xfId="0" applyFont="1" applyAlignment="1">
      <alignment vertical="center"/>
    </xf>
    <xf numFmtId="0" fontId="15" fillId="0" borderId="0" xfId="0" applyFont="1"/>
    <xf numFmtId="0" fontId="4" fillId="0" borderId="9" xfId="0" applyFont="1" applyBorder="1" applyAlignment="1">
      <alignment horizontal="center" vertical="center"/>
    </xf>
    <xf numFmtId="166" fontId="4" fillId="4" borderId="6" xfId="3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/>
    </xf>
    <xf numFmtId="166" fontId="3" fillId="0" borderId="10" xfId="3" applyNumberFormat="1" applyFont="1" applyBorder="1" applyAlignment="1">
      <alignment horizontal="center" vertical="center"/>
    </xf>
    <xf numFmtId="166" fontId="5" fillId="0" borderId="6" xfId="3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 applyAlignment="1">
      <alignment horizontal="right" vertical="top"/>
    </xf>
    <xf numFmtId="164" fontId="3" fillId="0" borderId="3" xfId="0" applyNumberFormat="1" applyFont="1" applyBorder="1" applyAlignment="1">
      <alignment horizontal="center" vertical="top"/>
    </xf>
    <xf numFmtId="169" fontId="4" fillId="0" borderId="0" xfId="2" applyNumberFormat="1" applyFont="1"/>
    <xf numFmtId="37" fontId="4" fillId="0" borderId="0" xfId="2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69" fontId="4" fillId="0" borderId="0" xfId="0" applyNumberFormat="1" applyFont="1"/>
    <xf numFmtId="165" fontId="4" fillId="0" borderId="0" xfId="0" applyNumberFormat="1" applyFont="1"/>
    <xf numFmtId="165" fontId="4" fillId="0" borderId="0" xfId="1" applyNumberFormat="1" applyFont="1" applyAlignment="1">
      <alignment vertical="center"/>
    </xf>
    <xf numFmtId="166" fontId="5" fillId="0" borderId="11" xfId="3" applyNumberFormat="1" applyFont="1" applyBorder="1" applyAlignment="1">
      <alignment horizontal="center" vertical="center"/>
    </xf>
    <xf numFmtId="0" fontId="16" fillId="0" borderId="0" xfId="0" applyFont="1" applyAlignment="1">
      <alignment horizontal="left" indent="1"/>
    </xf>
    <xf numFmtId="0" fontId="17" fillId="0" borderId="0" xfId="0" applyFont="1"/>
    <xf numFmtId="166" fontId="16" fillId="0" borderId="0" xfId="3" applyNumberFormat="1" applyFont="1"/>
    <xf numFmtId="166" fontId="17" fillId="0" borderId="0" xfId="0" applyNumberFormat="1" applyFont="1"/>
    <xf numFmtId="0" fontId="14" fillId="0" borderId="0" xfId="0" applyFont="1"/>
    <xf numFmtId="43" fontId="3" fillId="0" borderId="0" xfId="0" applyNumberFormat="1" applyFont="1"/>
    <xf numFmtId="0" fontId="11" fillId="0" borderId="0" xfId="0" applyFont="1"/>
    <xf numFmtId="165" fontId="3" fillId="0" borderId="0" xfId="0" applyNumberFormat="1" applyFont="1"/>
    <xf numFmtId="164" fontId="9" fillId="0" borderId="0" xfId="0" applyNumberFormat="1" applyFont="1" applyAlignment="1">
      <alignment horizontal="left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right" vertical="center"/>
    </xf>
    <xf numFmtId="164" fontId="19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5" fontId="4" fillId="0" borderId="0" xfId="1" applyNumberFormat="1" applyFont="1" applyFill="1" applyAlignment="1">
      <alignment vertical="center"/>
    </xf>
    <xf numFmtId="165" fontId="4" fillId="0" borderId="0" xfId="1" applyNumberFormat="1" applyFont="1" applyFill="1" applyBorder="1" applyAlignment="1">
      <alignment vertical="center"/>
    </xf>
    <xf numFmtId="166" fontId="17" fillId="0" borderId="0" xfId="3" applyNumberFormat="1" applyFont="1" applyFill="1" applyAlignment="1">
      <alignment vertical="center"/>
    </xf>
    <xf numFmtId="165" fontId="4" fillId="0" borderId="0" xfId="0" applyNumberFormat="1" applyFont="1" applyAlignment="1">
      <alignment vertical="center"/>
    </xf>
    <xf numFmtId="164" fontId="19" fillId="0" borderId="0" xfId="0" applyNumberFormat="1" applyFont="1" applyAlignment="1">
      <alignment horizontal="left" vertical="center"/>
    </xf>
    <xf numFmtId="166" fontId="17" fillId="0" borderId="0" xfId="3" applyNumberFormat="1" applyFont="1" applyAlignment="1">
      <alignment vertical="center"/>
    </xf>
    <xf numFmtId="165" fontId="4" fillId="0" borderId="1" xfId="1" applyNumberFormat="1" applyFont="1" applyBorder="1" applyAlignment="1">
      <alignment vertical="center"/>
    </xf>
    <xf numFmtId="0" fontId="20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left"/>
    </xf>
    <xf numFmtId="164" fontId="3" fillId="0" borderId="1" xfId="0" applyNumberFormat="1" applyFont="1" applyBorder="1" applyAlignment="1">
      <alignment horizontal="center"/>
    </xf>
    <xf numFmtId="166" fontId="17" fillId="0" borderId="0" xfId="3" applyNumberFormat="1" applyFont="1" applyFill="1" applyAlignment="1">
      <alignment horizontal="center" vertical="center"/>
    </xf>
    <xf numFmtId="164" fontId="9" fillId="7" borderId="0" xfId="0" applyNumberFormat="1" applyFont="1" applyFill="1" applyAlignment="1">
      <alignment vertical="center"/>
    </xf>
    <xf numFmtId="0" fontId="8" fillId="7" borderId="0" xfId="0" applyFont="1" applyFill="1" applyAlignment="1">
      <alignment horizontal="center" vertical="center"/>
    </xf>
    <xf numFmtId="164" fontId="9" fillId="6" borderId="12" xfId="0" applyNumberFormat="1" applyFont="1" applyFill="1" applyBorder="1" applyAlignment="1">
      <alignment horizontal="right" vertical="center"/>
    </xf>
    <xf numFmtId="164" fontId="9" fillId="6" borderId="13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>
      <alignment horizontal="right"/>
    </xf>
    <xf numFmtId="41" fontId="10" fillId="0" borderId="0" xfId="0" applyNumberFormat="1" applyFont="1"/>
    <xf numFmtId="43" fontId="4" fillId="0" borderId="0" xfId="0" applyNumberFormat="1" applyFont="1"/>
    <xf numFmtId="14" fontId="3" fillId="0" borderId="14" xfId="0" applyNumberFormat="1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14" fontId="3" fillId="0" borderId="3" xfId="0" applyNumberFormat="1" applyFont="1" applyBorder="1" applyAlignment="1">
      <alignment horizontal="center"/>
    </xf>
    <xf numFmtId="170" fontId="4" fillId="0" borderId="0" xfId="0" applyNumberFormat="1" applyFont="1"/>
    <xf numFmtId="0" fontId="4" fillId="0" borderId="1" xfId="0" applyFont="1" applyBorder="1" applyAlignment="1">
      <alignment horizontal="center"/>
    </xf>
    <xf numFmtId="170" fontId="4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right"/>
    </xf>
    <xf numFmtId="43" fontId="4" fillId="0" borderId="0" xfId="1" applyFont="1" applyBorder="1"/>
    <xf numFmtId="0" fontId="3" fillId="2" borderId="16" xfId="0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41" fontId="4" fillId="0" borderId="16" xfId="0" applyNumberFormat="1" applyFont="1" applyBorder="1"/>
    <xf numFmtId="165" fontId="6" fillId="0" borderId="16" xfId="1" applyNumberFormat="1" applyFont="1" applyBorder="1"/>
    <xf numFmtId="165" fontId="3" fillId="0" borderId="16" xfId="1" applyNumberFormat="1" applyFont="1" applyBorder="1"/>
    <xf numFmtId="165" fontId="4" fillId="0" borderId="16" xfId="1" applyNumberFormat="1" applyFont="1" applyBorder="1"/>
    <xf numFmtId="41" fontId="6" fillId="0" borderId="16" xfId="0" applyNumberFormat="1" applyFont="1" applyBorder="1"/>
    <xf numFmtId="41" fontId="3" fillId="0" borderId="16" xfId="0" applyNumberFormat="1" applyFont="1" applyBorder="1"/>
    <xf numFmtId="166" fontId="16" fillId="0" borderId="16" xfId="3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3" borderId="18" xfId="0" applyFont="1" applyFill="1" applyBorder="1"/>
    <xf numFmtId="0" fontId="11" fillId="2" borderId="18" xfId="0" applyFont="1" applyFill="1" applyBorder="1"/>
    <xf numFmtId="0" fontId="8" fillId="0" borderId="16" xfId="0" applyFont="1" applyBorder="1"/>
    <xf numFmtId="41" fontId="3" fillId="0" borderId="19" xfId="0" applyNumberFormat="1" applyFont="1" applyBorder="1"/>
    <xf numFmtId="41" fontId="10" fillId="0" borderId="16" xfId="0" applyNumberFormat="1" applyFont="1" applyBorder="1"/>
    <xf numFmtId="0" fontId="5" fillId="0" borderId="19" xfId="0" applyFont="1" applyBorder="1" applyAlignment="1">
      <alignment horizontal="right"/>
    </xf>
    <xf numFmtId="0" fontId="3" fillId="0" borderId="19" xfId="0" applyFont="1" applyBorder="1"/>
    <xf numFmtId="165" fontId="4" fillId="0" borderId="16" xfId="0" applyNumberFormat="1" applyFont="1" applyBorder="1"/>
    <xf numFmtId="165" fontId="3" fillId="0" borderId="16" xfId="0" applyNumberFormat="1" applyFont="1" applyBorder="1"/>
    <xf numFmtId="41" fontId="12" fillId="0" borderId="19" xfId="0" applyNumberFormat="1" applyFont="1" applyBorder="1"/>
    <xf numFmtId="0" fontId="16" fillId="0" borderId="0" xfId="0" applyFont="1" applyAlignment="1">
      <alignment horizontal="left" vertical="center" indent="1"/>
    </xf>
    <xf numFmtId="166" fontId="3" fillId="0" borderId="0" xfId="3" applyNumberFormat="1" applyFont="1" applyBorder="1" applyAlignment="1">
      <alignment horizontal="center" vertical="center"/>
    </xf>
    <xf numFmtId="41" fontId="5" fillId="0" borderId="6" xfId="1" applyNumberFormat="1" applyFont="1" applyFill="1" applyBorder="1" applyAlignment="1">
      <alignment horizontal="center" vertical="center"/>
    </xf>
    <xf numFmtId="41" fontId="4" fillId="0" borderId="0" xfId="0" applyNumberFormat="1" applyFont="1" applyAlignment="1">
      <alignment horizontal="center" vertical="center"/>
    </xf>
    <xf numFmtId="41" fontId="4" fillId="0" borderId="0" xfId="0" applyNumberFormat="1" applyFont="1" applyAlignment="1">
      <alignment horizontal="right" vertical="center"/>
    </xf>
    <xf numFmtId="41" fontId="4" fillId="0" borderId="0" xfId="0" applyNumberFormat="1" applyFont="1" applyAlignment="1">
      <alignment vertical="center"/>
    </xf>
    <xf numFmtId="41" fontId="3" fillId="0" borderId="10" xfId="0" applyNumberFormat="1" applyFont="1" applyBorder="1" applyAlignment="1">
      <alignment vertical="center"/>
    </xf>
    <xf numFmtId="41" fontId="3" fillId="0" borderId="0" xfId="0" applyNumberFormat="1" applyFont="1" applyAlignment="1">
      <alignment vertical="center"/>
    </xf>
    <xf numFmtId="41" fontId="3" fillId="0" borderId="0" xfId="0" applyNumberFormat="1" applyFont="1" applyAlignment="1">
      <alignment horizontal="right" vertical="center"/>
    </xf>
    <xf numFmtId="166" fontId="4" fillId="0" borderId="0" xfId="3" applyNumberFormat="1" applyFont="1" applyAlignment="1">
      <alignment vertical="center"/>
    </xf>
    <xf numFmtId="165" fontId="22" fillId="0" borderId="0" xfId="0" applyNumberFormat="1" applyFont="1" applyAlignment="1">
      <alignment vertical="center"/>
    </xf>
    <xf numFmtId="166" fontId="4" fillId="0" borderId="0" xfId="3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1" fontId="5" fillId="0" borderId="0" xfId="0" applyNumberFormat="1" applyFont="1"/>
    <xf numFmtId="41" fontId="5" fillId="0" borderId="0" xfId="0" applyNumberFormat="1" applyFont="1" applyAlignment="1">
      <alignment vertical="center"/>
    </xf>
    <xf numFmtId="41" fontId="12" fillId="0" borderId="0" xfId="0" applyNumberFormat="1" applyFont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165" fontId="5" fillId="4" borderId="6" xfId="1" applyNumberFormat="1" applyFont="1" applyFill="1" applyBorder="1" applyAlignment="1">
      <alignment horizontal="center" vertical="center"/>
    </xf>
    <xf numFmtId="164" fontId="5" fillId="0" borderId="6" xfId="1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165" fontId="16" fillId="0" borderId="0" xfId="0" applyNumberFormat="1" applyFont="1" applyAlignment="1">
      <alignment vertical="center"/>
    </xf>
    <xf numFmtId="0" fontId="3" fillId="0" borderId="0" xfId="0" applyFont="1" applyAlignment="1">
      <alignment horizontal="left" vertical="center" indent="1"/>
    </xf>
    <xf numFmtId="0" fontId="16" fillId="0" borderId="0" xfId="0" applyFont="1" applyAlignment="1">
      <alignment horizontal="left" vertical="center" indent="2"/>
    </xf>
    <xf numFmtId="171" fontId="5" fillId="0" borderId="6" xfId="1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71" fontId="5" fillId="0" borderId="0" xfId="1" applyNumberFormat="1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left" vertical="center" indent="1"/>
    </xf>
    <xf numFmtId="0" fontId="4" fillId="0" borderId="20" xfId="0" applyFont="1" applyBorder="1" applyAlignment="1">
      <alignment vertical="center"/>
    </xf>
    <xf numFmtId="164" fontId="4" fillId="0" borderId="20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5" fillId="0" borderId="20" xfId="0" applyFont="1" applyBorder="1" applyAlignment="1">
      <alignment vertical="center"/>
    </xf>
    <xf numFmtId="165" fontId="4" fillId="0" borderId="20" xfId="1" applyNumberFormat="1" applyFont="1" applyBorder="1" applyAlignment="1">
      <alignment vertical="center"/>
    </xf>
    <xf numFmtId="41" fontId="4" fillId="0" borderId="20" xfId="0" applyNumberFormat="1" applyFont="1" applyBorder="1" applyAlignment="1">
      <alignment vertical="center"/>
    </xf>
    <xf numFmtId="0" fontId="3" fillId="4" borderId="2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20" xfId="0" applyFont="1" applyBorder="1" applyAlignment="1">
      <alignment horizontal="center" vertical="center"/>
    </xf>
    <xf numFmtId="0" fontId="0" fillId="8" borderId="0" xfId="0" applyFill="1"/>
    <xf numFmtId="167" fontId="4" fillId="0" borderId="16" xfId="0" applyNumberFormat="1" applyFont="1" applyBorder="1" applyAlignment="1">
      <alignment horizontal="center"/>
    </xf>
    <xf numFmtId="37" fontId="4" fillId="0" borderId="16" xfId="1" applyNumberFormat="1" applyFont="1" applyBorder="1" applyAlignment="1">
      <alignment horizontal="center"/>
    </xf>
    <xf numFmtId="0" fontId="3" fillId="0" borderId="22" xfId="0" applyFont="1" applyBorder="1"/>
    <xf numFmtId="0" fontId="4" fillId="0" borderId="0" xfId="0" applyFont="1" applyAlignment="1">
      <alignment horizontal="left" indent="1"/>
    </xf>
    <xf numFmtId="0" fontId="3" fillId="2" borderId="23" xfId="0" applyFont="1" applyFill="1" applyBorder="1" applyAlignment="1">
      <alignment horizontal="center"/>
    </xf>
    <xf numFmtId="0" fontId="4" fillId="0" borderId="23" xfId="0" applyFont="1" applyBorder="1"/>
    <xf numFmtId="41" fontId="4" fillId="0" borderId="23" xfId="0" applyNumberFormat="1" applyFont="1" applyBorder="1"/>
    <xf numFmtId="41" fontId="6" fillId="0" borderId="23" xfId="0" applyNumberFormat="1" applyFont="1" applyBorder="1"/>
    <xf numFmtId="41" fontId="3" fillId="0" borderId="23" xfId="0" applyNumberFormat="1" applyFont="1" applyBorder="1"/>
    <xf numFmtId="41" fontId="24" fillId="0" borderId="23" xfId="0" applyNumberFormat="1" applyFont="1" applyBorder="1"/>
    <xf numFmtId="0" fontId="4" fillId="0" borderId="23" xfId="0" applyFont="1" applyBorder="1" applyAlignment="1">
      <alignment horizontal="right"/>
    </xf>
    <xf numFmtId="41" fontId="3" fillId="0" borderId="26" xfId="0" applyNumberFormat="1" applyFont="1" applyBorder="1"/>
    <xf numFmtId="0" fontId="4" fillId="5" borderId="27" xfId="0" applyFont="1" applyFill="1" applyBorder="1"/>
    <xf numFmtId="169" fontId="4" fillId="9" borderId="13" xfId="0" applyNumberFormat="1" applyFont="1" applyFill="1" applyBorder="1" applyAlignment="1">
      <alignment horizontal="center"/>
    </xf>
    <xf numFmtId="169" fontId="4" fillId="0" borderId="13" xfId="0" applyNumberFormat="1" applyFont="1" applyBorder="1" applyAlignment="1">
      <alignment horizontal="center"/>
    </xf>
    <xf numFmtId="169" fontId="4" fillId="9" borderId="28" xfId="0" applyNumberFormat="1" applyFont="1" applyFill="1" applyBorder="1" applyAlignment="1">
      <alignment horizontal="center"/>
    </xf>
    <xf numFmtId="164" fontId="9" fillId="6" borderId="3" xfId="0" applyNumberFormat="1" applyFont="1" applyFill="1" applyBorder="1" applyAlignment="1">
      <alignment horizontal="center" vertical="top"/>
    </xf>
    <xf numFmtId="169" fontId="4" fillId="9" borderId="29" xfId="0" applyNumberFormat="1" applyFont="1" applyFill="1" applyBorder="1" applyAlignment="1">
      <alignment horizontal="center"/>
    </xf>
    <xf numFmtId="166" fontId="11" fillId="0" borderId="11" xfId="3" applyNumberFormat="1" applyFont="1" applyBorder="1" applyAlignment="1">
      <alignment horizontal="center" vertical="center"/>
    </xf>
    <xf numFmtId="9" fontId="4" fillId="0" borderId="0" xfId="0" applyNumberFormat="1" applyFont="1" applyAlignment="1">
      <alignment horizontal="center"/>
    </xf>
    <xf numFmtId="0" fontId="5" fillId="0" borderId="0" xfId="0" applyFont="1" applyAlignment="1">
      <alignment horizontal="left" vertical="center" indent="1"/>
    </xf>
    <xf numFmtId="172" fontId="5" fillId="0" borderId="16" xfId="0" applyNumberFormat="1" applyFont="1" applyBorder="1"/>
    <xf numFmtId="164" fontId="5" fillId="0" borderId="16" xfId="0" applyNumberFormat="1" applyFont="1" applyBorder="1" applyAlignment="1">
      <alignment horizontal="right" vertical="center"/>
    </xf>
    <xf numFmtId="10" fontId="5" fillId="0" borderId="16" xfId="3" applyNumberFormat="1" applyFont="1" applyBorder="1"/>
    <xf numFmtId="0" fontId="4" fillId="0" borderId="24" xfId="0" applyFont="1" applyBorder="1"/>
    <xf numFmtId="5" fontId="11" fillId="0" borderId="17" xfId="2" applyNumberFormat="1" applyFont="1" applyFill="1" applyBorder="1"/>
    <xf numFmtId="0" fontId="9" fillId="10" borderId="27" xfId="0" applyFont="1" applyFill="1" applyBorder="1" applyAlignment="1">
      <alignment vertical="center"/>
    </xf>
    <xf numFmtId="0" fontId="9" fillId="10" borderId="4" xfId="0" applyFont="1" applyFill="1" applyBorder="1" applyAlignment="1">
      <alignment vertical="center"/>
    </xf>
    <xf numFmtId="0" fontId="9" fillId="10" borderId="18" xfId="0" applyFont="1" applyFill="1" applyBorder="1" applyAlignment="1">
      <alignment vertical="center"/>
    </xf>
    <xf numFmtId="37" fontId="4" fillId="0" borderId="0" xfId="0" applyNumberFormat="1" applyFont="1" applyAlignment="1">
      <alignment horizontal="right"/>
    </xf>
    <xf numFmtId="173" fontId="4" fillId="0" borderId="0" xfId="0" applyNumberFormat="1" applyFont="1" applyAlignment="1">
      <alignment horizontal="right"/>
    </xf>
    <xf numFmtId="0" fontId="9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right" vertical="center"/>
    </xf>
    <xf numFmtId="37" fontId="2" fillId="0" borderId="0" xfId="0" applyNumberFormat="1" applyFont="1"/>
    <xf numFmtId="0" fontId="0" fillId="0" borderId="1" xfId="0" applyBorder="1" applyAlignment="1">
      <alignment horizontal="center"/>
    </xf>
    <xf numFmtId="0" fontId="9" fillId="7" borderId="30" xfId="0" applyFont="1" applyFill="1" applyBorder="1"/>
    <xf numFmtId="0" fontId="0" fillId="7" borderId="31" xfId="0" applyFill="1" applyBorder="1"/>
    <xf numFmtId="0" fontId="9" fillId="7" borderId="24" xfId="0" applyFont="1" applyFill="1" applyBorder="1" applyAlignment="1">
      <alignment horizontal="left" vertical="center"/>
    </xf>
    <xf numFmtId="0" fontId="9" fillId="7" borderId="17" xfId="0" applyFont="1" applyFill="1" applyBorder="1" applyAlignment="1">
      <alignment horizontal="centerContinuous"/>
    </xf>
    <xf numFmtId="0" fontId="25" fillId="7" borderId="30" xfId="0" applyFont="1" applyFill="1" applyBorder="1" applyAlignment="1">
      <alignment horizontal="center"/>
    </xf>
    <xf numFmtId="0" fontId="25" fillId="7" borderId="14" xfId="0" applyFont="1" applyFill="1" applyBorder="1" applyAlignment="1">
      <alignment horizontal="center"/>
    </xf>
    <xf numFmtId="0" fontId="9" fillId="7" borderId="31" xfId="0" applyFont="1" applyFill="1" applyBorder="1" applyAlignment="1">
      <alignment horizontal="center" vertical="center"/>
    </xf>
    <xf numFmtId="0" fontId="9" fillId="7" borderId="24" xfId="0" applyFont="1" applyFill="1" applyBorder="1" applyAlignment="1">
      <alignment horizontal="center" vertical="center"/>
    </xf>
    <xf numFmtId="0" fontId="9" fillId="7" borderId="17" xfId="0" applyFont="1" applyFill="1" applyBorder="1" applyAlignment="1">
      <alignment horizontal="center" vertical="center"/>
    </xf>
    <xf numFmtId="0" fontId="9" fillId="7" borderId="30" xfId="0" applyFont="1" applyFill="1" applyBorder="1" applyAlignment="1">
      <alignment horizontal="right" vertical="center"/>
    </xf>
    <xf numFmtId="0" fontId="9" fillId="7" borderId="14" xfId="0" applyFont="1" applyFill="1" applyBorder="1" applyAlignment="1">
      <alignment horizontal="right" vertical="center"/>
    </xf>
    <xf numFmtId="0" fontId="9" fillId="7" borderId="31" xfId="0" applyFont="1" applyFill="1" applyBorder="1" applyAlignment="1">
      <alignment horizontal="right" vertical="center"/>
    </xf>
    <xf numFmtId="0" fontId="9" fillId="7" borderId="24" xfId="0" applyFont="1" applyFill="1" applyBorder="1" applyAlignment="1">
      <alignment horizontal="right" vertical="center"/>
    </xf>
    <xf numFmtId="0" fontId="9" fillId="7" borderId="17" xfId="0" applyFont="1" applyFill="1" applyBorder="1" applyAlignment="1">
      <alignment horizontal="right" vertical="center"/>
    </xf>
    <xf numFmtId="0" fontId="9" fillId="7" borderId="15" xfId="0" applyFont="1" applyFill="1" applyBorder="1" applyAlignment="1">
      <alignment horizontal="right" vertical="center"/>
    </xf>
    <xf numFmtId="0" fontId="9" fillId="7" borderId="3" xfId="0" applyFont="1" applyFill="1" applyBorder="1" applyAlignment="1">
      <alignment horizontal="right" vertical="center"/>
    </xf>
    <xf numFmtId="164" fontId="12" fillId="2" borderId="23" xfId="0" applyNumberFormat="1" applyFont="1" applyFill="1" applyBorder="1" applyAlignment="1">
      <alignment horizontal="center"/>
    </xf>
    <xf numFmtId="164" fontId="12" fillId="2" borderId="24" xfId="0" applyNumberFormat="1" applyFont="1" applyFill="1" applyBorder="1" applyAlignment="1">
      <alignment horizontal="center"/>
    </xf>
    <xf numFmtId="0" fontId="3" fillId="0" borderId="23" xfId="0" applyFont="1" applyBorder="1"/>
    <xf numFmtId="0" fontId="4" fillId="0" borderId="0" xfId="0" applyFont="1" applyAlignment="1">
      <alignment horizontal="left" indent="2"/>
    </xf>
    <xf numFmtId="0" fontId="3" fillId="0" borderId="0" xfId="0" applyFont="1" applyAlignment="1">
      <alignment horizontal="left" indent="2"/>
    </xf>
    <xf numFmtId="168" fontId="11" fillId="0" borderId="2" xfId="0" applyNumberFormat="1" applyFont="1" applyBorder="1" applyAlignment="1">
      <alignment horizontal="center"/>
    </xf>
    <xf numFmtId="0" fontId="26" fillId="0" borderId="0" xfId="0" applyFont="1"/>
    <xf numFmtId="41" fontId="24" fillId="0" borderId="0" xfId="0" applyNumberFormat="1" applyFont="1" applyBorder="1"/>
    <xf numFmtId="41" fontId="4" fillId="0" borderId="0" xfId="0" applyNumberFormat="1" applyFont="1" applyBorder="1"/>
    <xf numFmtId="41" fontId="6" fillId="0" borderId="0" xfId="0" applyNumberFormat="1" applyFont="1" applyBorder="1"/>
    <xf numFmtId="0" fontId="2" fillId="12" borderId="2" xfId="0" applyFont="1" applyFill="1" applyBorder="1" applyAlignment="1">
      <alignment horizontal="centerContinuous"/>
    </xf>
    <xf numFmtId="0" fontId="0" fillId="12" borderId="2" xfId="0" applyFill="1" applyBorder="1" applyAlignment="1">
      <alignment horizontal="centerContinuous"/>
    </xf>
    <xf numFmtId="0" fontId="0" fillId="12" borderId="18" xfId="0" applyFill="1" applyBorder="1" applyAlignment="1">
      <alignment horizontal="centerContinuous"/>
    </xf>
    <xf numFmtId="0" fontId="3" fillId="0" borderId="24" xfId="0" applyFont="1" applyBorder="1" applyAlignment="1">
      <alignment horizontal="center" vertical="top"/>
    </xf>
    <xf numFmtId="169" fontId="4" fillId="0" borderId="23" xfId="0" applyNumberFormat="1" applyFont="1" applyBorder="1" applyAlignment="1">
      <alignment horizontal="center"/>
    </xf>
    <xf numFmtId="169" fontId="4" fillId="0" borderId="23" xfId="0" applyNumberFormat="1" applyFont="1" applyBorder="1"/>
    <xf numFmtId="169" fontId="4" fillId="0" borderId="16" xfId="0" applyNumberFormat="1" applyFont="1" applyBorder="1" applyAlignment="1">
      <alignment horizontal="center"/>
    </xf>
    <xf numFmtId="169" fontId="4" fillId="0" borderId="16" xfId="0" applyNumberFormat="1" applyFont="1" applyBorder="1"/>
    <xf numFmtId="0" fontId="2" fillId="13" borderId="2" xfId="0" applyFont="1" applyFill="1" applyBorder="1" applyAlignment="1">
      <alignment horizontal="centerContinuous"/>
    </xf>
    <xf numFmtId="0" fontId="0" fillId="13" borderId="2" xfId="0" applyFill="1" applyBorder="1" applyAlignment="1">
      <alignment horizontal="centerContinuous"/>
    </xf>
    <xf numFmtId="0" fontId="0" fillId="13" borderId="18" xfId="0" applyFill="1" applyBorder="1" applyAlignment="1">
      <alignment horizontal="centerContinuous"/>
    </xf>
    <xf numFmtId="164" fontId="9" fillId="6" borderId="2" xfId="0" applyNumberFormat="1" applyFont="1" applyFill="1" applyBorder="1" applyAlignment="1">
      <alignment horizontal="center" vertical="top"/>
    </xf>
    <xf numFmtId="169" fontId="4" fillId="9" borderId="33" xfId="0" applyNumberFormat="1" applyFont="1" applyFill="1" applyBorder="1" applyAlignment="1">
      <alignment horizontal="center"/>
    </xf>
    <xf numFmtId="169" fontId="4" fillId="0" borderId="34" xfId="0" applyNumberFormat="1" applyFont="1" applyBorder="1" applyAlignment="1">
      <alignment horizontal="center"/>
    </xf>
    <xf numFmtId="169" fontId="4" fillId="9" borderId="34" xfId="0" applyNumberFormat="1" applyFont="1" applyFill="1" applyBorder="1" applyAlignment="1">
      <alignment horizontal="center"/>
    </xf>
    <xf numFmtId="169" fontId="4" fillId="9" borderId="35" xfId="0" applyNumberFormat="1" applyFont="1" applyFill="1" applyBorder="1" applyAlignment="1">
      <alignment horizontal="center"/>
    </xf>
    <xf numFmtId="169" fontId="4" fillId="9" borderId="32" xfId="0" applyNumberFormat="1" applyFont="1" applyFill="1" applyBorder="1" applyAlignment="1">
      <alignment horizontal="center"/>
    </xf>
    <xf numFmtId="169" fontId="4" fillId="0" borderId="32" xfId="0" applyNumberFormat="1" applyFont="1" applyBorder="1" applyAlignment="1">
      <alignment horizontal="center"/>
    </xf>
    <xf numFmtId="169" fontId="4" fillId="9" borderId="36" xfId="0" applyNumberFormat="1" applyFont="1" applyFill="1" applyBorder="1" applyAlignment="1">
      <alignment horizontal="center"/>
    </xf>
    <xf numFmtId="0" fontId="4" fillId="0" borderId="0" xfId="0" applyFont="1" applyBorder="1"/>
    <xf numFmtId="41" fontId="3" fillId="0" borderId="0" xfId="0" applyNumberFormat="1" applyFont="1" applyBorder="1"/>
    <xf numFmtId="0" fontId="3" fillId="2" borderId="0" xfId="0" applyFont="1" applyFill="1" applyBorder="1" applyAlignment="1">
      <alignment horizontal="center"/>
    </xf>
    <xf numFmtId="164" fontId="3" fillId="2" borderId="0" xfId="0" applyNumberFormat="1" applyFont="1" applyFill="1" applyBorder="1" applyAlignment="1">
      <alignment horizontal="center"/>
    </xf>
    <xf numFmtId="0" fontId="4" fillId="11" borderId="0" xfId="0" applyFont="1" applyFill="1" applyBorder="1"/>
    <xf numFmtId="0" fontId="4" fillId="11" borderId="0" xfId="0" applyFont="1" applyFill="1" applyBorder="1" applyAlignment="1">
      <alignment horizontal="center"/>
    </xf>
    <xf numFmtId="41" fontId="4" fillId="11" borderId="0" xfId="0" applyNumberFormat="1" applyFont="1" applyFill="1" applyBorder="1"/>
    <xf numFmtId="41" fontId="6" fillId="11" borderId="0" xfId="0" applyNumberFormat="1" applyFont="1" applyFill="1" applyBorder="1"/>
    <xf numFmtId="41" fontId="3" fillId="11" borderId="0" xfId="0" applyNumberFormat="1" applyFont="1" applyFill="1" applyBorder="1"/>
    <xf numFmtId="41" fontId="24" fillId="11" borderId="0" xfId="0" applyNumberFormat="1" applyFont="1" applyFill="1" applyBorder="1"/>
    <xf numFmtId="0" fontId="3" fillId="0" borderId="0" xfId="0" applyFont="1" applyBorder="1" applyAlignment="1">
      <alignment horizontal="center"/>
    </xf>
    <xf numFmtId="0" fontId="4" fillId="11" borderId="14" xfId="0" applyFont="1" applyFill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27" fillId="0" borderId="1" xfId="0" applyFont="1" applyBorder="1"/>
    <xf numFmtId="0" fontId="5" fillId="2" borderId="2" xfId="0" applyFont="1" applyFill="1" applyBorder="1" applyAlignment="1">
      <alignment horizontal="center"/>
    </xf>
    <xf numFmtId="9" fontId="5" fillId="2" borderId="2" xfId="3" applyFont="1" applyFill="1" applyBorder="1" applyAlignment="1">
      <alignment horizontal="center"/>
    </xf>
    <xf numFmtId="0" fontId="5" fillId="0" borderId="0" xfId="0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4" fontId="4" fillId="0" borderId="0" xfId="0" applyNumberFormat="1" applyFont="1" applyFill="1" applyAlignment="1">
      <alignment horizontal="center"/>
    </xf>
    <xf numFmtId="169" fontId="4" fillId="0" borderId="0" xfId="2" applyNumberFormat="1" applyFont="1" applyFill="1"/>
    <xf numFmtId="37" fontId="4" fillId="0" borderId="0" xfId="2" applyNumberFormat="1" applyFont="1" applyFill="1" applyAlignment="1">
      <alignment horizontal="center"/>
    </xf>
    <xf numFmtId="169" fontId="4" fillId="0" borderId="23" xfId="0" applyNumberFormat="1" applyFont="1" applyFill="1" applyBorder="1" applyAlignment="1">
      <alignment horizontal="center"/>
    </xf>
    <xf numFmtId="169" fontId="4" fillId="0" borderId="0" xfId="0" applyNumberFormat="1" applyFont="1" applyFill="1" applyAlignment="1">
      <alignment horizontal="center"/>
    </xf>
    <xf numFmtId="169" fontId="4" fillId="0" borderId="16" xfId="0" applyNumberFormat="1" applyFont="1" applyFill="1" applyBorder="1" applyAlignment="1">
      <alignment horizontal="center"/>
    </xf>
    <xf numFmtId="0" fontId="0" fillId="0" borderId="0" xfId="0" applyFill="1"/>
    <xf numFmtId="169" fontId="4" fillId="0" borderId="34" xfId="0" applyNumberFormat="1" applyFont="1" applyFill="1" applyBorder="1" applyAlignment="1">
      <alignment horizontal="center"/>
    </xf>
    <xf numFmtId="169" fontId="4" fillId="0" borderId="13" xfId="0" applyNumberFormat="1" applyFont="1" applyFill="1" applyBorder="1" applyAlignment="1">
      <alignment horizontal="center"/>
    </xf>
    <xf numFmtId="169" fontId="4" fillId="0" borderId="32" xfId="0" applyNumberFormat="1" applyFont="1" applyFill="1" applyBorder="1" applyAlignment="1">
      <alignment horizontal="center"/>
    </xf>
    <xf numFmtId="0" fontId="4" fillId="0" borderId="23" xfId="0" applyFont="1" applyBorder="1" applyAlignment="1">
      <alignment vertical="center"/>
    </xf>
    <xf numFmtId="0" fontId="4" fillId="0" borderId="24" xfId="0" applyFont="1" applyBorder="1" applyAlignment="1">
      <alignment vertical="center"/>
    </xf>
    <xf numFmtId="0" fontId="4" fillId="0" borderId="1" xfId="0" applyFont="1" applyBorder="1" applyAlignment="1">
      <alignment horizontal="right"/>
    </xf>
    <xf numFmtId="0" fontId="9" fillId="10" borderId="0" xfId="0" applyFont="1" applyFill="1" applyAlignment="1">
      <alignment horizontal="centerContinuous"/>
    </xf>
    <xf numFmtId="0" fontId="9" fillId="10" borderId="0" xfId="0" applyFont="1" applyFill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10" borderId="0" xfId="0" applyFont="1" applyFill="1" applyAlignment="1">
      <alignment horizontal="centerContinuous"/>
    </xf>
    <xf numFmtId="3" fontId="28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9" fontId="11" fillId="0" borderId="2" xfId="3" applyFont="1" applyFill="1" applyBorder="1" applyAlignment="1">
      <alignment horizontal="center"/>
    </xf>
    <xf numFmtId="0" fontId="5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3" borderId="4" xfId="0" applyFont="1" applyFill="1" applyBorder="1" applyAlignment="1">
      <alignment horizontal="right"/>
    </xf>
    <xf numFmtId="37" fontId="11" fillId="0" borderId="2" xfId="3" applyNumberFormat="1" applyFont="1" applyFill="1" applyBorder="1" applyAlignment="1">
      <alignment horizontal="center"/>
    </xf>
    <xf numFmtId="9" fontId="11" fillId="0" borderId="16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11" fillId="0" borderId="31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11" fillId="0" borderId="17" xfId="0" applyNumberFormat="1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5" fontId="11" fillId="0" borderId="16" xfId="2" applyNumberFormat="1" applyFont="1" applyFill="1" applyBorder="1"/>
    <xf numFmtId="9" fontId="11" fillId="0" borderId="0" xfId="0" applyNumberFormat="1" applyFont="1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9" fontId="11" fillId="0" borderId="0" xfId="0" applyNumberFormat="1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165" fontId="4" fillId="0" borderId="0" xfId="0" applyNumberFormat="1" applyFont="1" applyAlignment="1">
      <alignment horizontal="center" vertical="center"/>
    </xf>
    <xf numFmtId="41" fontId="12" fillId="0" borderId="10" xfId="0" applyNumberFormat="1" applyFont="1" applyBorder="1" applyAlignment="1">
      <alignment vertical="center"/>
    </xf>
    <xf numFmtId="164" fontId="3" fillId="0" borderId="3" xfId="0" quotePrefix="1" applyNumberFormat="1" applyFont="1" applyBorder="1" applyAlignment="1">
      <alignment horizontal="center" vertical="top"/>
    </xf>
    <xf numFmtId="43" fontId="4" fillId="0" borderId="0" xfId="1" applyFont="1"/>
    <xf numFmtId="0" fontId="5" fillId="2" borderId="2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7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3" formatCode="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5" formatCode="#,##0_);\(#,##0\)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rgb="FF0000FF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textRotation="0" wrapText="0" indent="0" justifyLastLine="0" shrinkToFit="0" readingOrder="0"/>
    </dxf>
    <dxf>
      <font>
        <color theme="1"/>
      </font>
    </dxf>
    <dxf>
      <font>
        <color theme="1"/>
      </font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0" formatCode="mm/dd/yy;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Roboto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0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0" formatCode="mm/dd/yy;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35" formatCode="_(* #,##0.00_);_(* \(#,##0.0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70" formatCode="mm/dd/yy;@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9" formatCode="_(&quot;$&quot;* #,##0_);_(&quot;$&quot;* \(#,##0\);_(&quot;$&quot;* &quot;-&quot;??_);_(@_)"/>
    </dxf>
    <dxf>
      <border outline="0">
        <top style="thin">
          <color indexed="64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numFmt numFmtId="164" formatCode="[$-409]mmm\-yy;@"/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0"/>
        <color theme="1"/>
        <name val="Roboto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5" formatCode="_(* #,##0_);_(* \(#,##0\);_(* &quot;-&quot;??_);_(@_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Roboto"/>
        <scheme val="none"/>
      </font>
      <numFmt numFmtId="164" formatCode="[$-409]mmm\-yy;@"/>
      <alignment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Roboto"/>
        <scheme val="none"/>
      </font>
      <numFmt numFmtId="164" formatCode="[$-409]mmm\-yy;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00FF"/>
      <color rgb="FFFFFFCC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Drop" dropStyle="combo" dx="35" fmlaLink="$J$25" fmlaRange="$J$26:$J$28" noThreeD="1" sel="2" val="0"/>
</file>

<file path=xl/ctrlProps/ctrlProp2.xml><?xml version="1.0" encoding="utf-8"?>
<formControlPr xmlns="http://schemas.microsoft.com/office/spreadsheetml/2009/9/main" objectType="Drop" dropStyle="combo" dx="22" fmlaLink="$D$143" fmlaRange="$B$144:$B$146" noThreeD="1" sel="2" val="0"/>
</file>

<file path=xl/ctrlProps/ctrlProp3.xml><?xml version="1.0" encoding="utf-8"?>
<formControlPr xmlns="http://schemas.microsoft.com/office/spreadsheetml/2009/9/main" objectType="Radio" firstButton="1" fmlaLink="$G$16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ctrlProps/ctrlProp6.xml><?xml version="1.0" encoding="utf-8"?>
<formControlPr xmlns="http://schemas.microsoft.com/office/spreadsheetml/2009/9/main" objectType="Radio" firstButton="1" fmlaLink="$G$23" lockText="1" noThreeD="1"/>
</file>

<file path=xl/ctrlProps/ctrlProp7.xml><?xml version="1.0" encoding="utf-8"?>
<formControlPr xmlns="http://schemas.microsoft.com/office/spreadsheetml/2009/9/main" objectType="Radio" lockText="1" noThreeD="1"/>
</file>

<file path=xl/ctrlProps/ctrlProp8.xml><?xml version="1.0" encoding="utf-8"?>
<formControlPr xmlns="http://schemas.microsoft.com/office/spreadsheetml/2009/9/main" objectType="Radio" checked="Checked" lockText="1" noThreeD="1"/>
</file>

<file path=xl/ctrlProps/ctrlProp9.xml><?xml version="1.0" encoding="utf-8"?>
<formControlPr xmlns="http://schemas.microsoft.com/office/spreadsheetml/2009/9/main" objectType="Radio" firstButton="1" fmlaLink="$G$24" lockText="1" noThreeD="1"/>
</file>

<file path=xl/ctrlProps/ctrlProp10.xml><?xml version="1.0" encoding="utf-8"?>
<formControlPr xmlns="http://schemas.microsoft.com/office/spreadsheetml/2009/9/main" objectType="Radio" lockText="1" noThreeD="1"/>
</file>

<file path=xl/ctrlProps/ctrlProp11.xml><?xml version="1.0" encoding="utf-8"?>
<formControlPr xmlns="http://schemas.microsoft.com/office/spreadsheetml/2009/9/main" objectType="Radio" checked="Checked" lockText="1" noThreeD="1"/>
</file>

<file path=xl/ctrlProps/ctrlProp12.xml><?xml version="1.0" encoding="utf-8"?>
<formControlPr xmlns="http://schemas.microsoft.com/office/spreadsheetml/2009/9/main" objectType="Radio" firstButton="1" fmlaLink="$G$25" lockText="1" noThreeD="1"/>
</file>

<file path=xl/ctrlProps/ctrlProp13.xml><?xml version="1.0" encoding="utf-8"?>
<formControlPr xmlns="http://schemas.microsoft.com/office/spreadsheetml/2009/9/main" objectType="Radio" lockText="1" noThreeD="1"/>
</file>

<file path=xl/ctrlProps/ctrlProp14.xml><?xml version="1.0" encoding="utf-8"?>
<formControlPr xmlns="http://schemas.microsoft.com/office/spreadsheetml/2009/9/main" objectType="Radio" checked="Checked" lockText="1" noThreeD="1"/>
</file>

<file path=xl/ctrlProps/ctrlProp15.xml><?xml version="1.0" encoding="utf-8"?>
<formControlPr xmlns="http://schemas.microsoft.com/office/spreadsheetml/2009/9/main" objectType="Radio" firstButton="1" fmlaLink="$G$26" lockText="1" noThreeD="1"/>
</file>

<file path=xl/ctrlProps/ctrlProp16.xml><?xml version="1.0" encoding="utf-8"?>
<formControlPr xmlns="http://schemas.microsoft.com/office/spreadsheetml/2009/9/main" objectType="Radio" lockText="1" noThreeD="1"/>
</file>

<file path=xl/ctrlProps/ctrlProp17.xml><?xml version="1.0" encoding="utf-8"?>
<formControlPr xmlns="http://schemas.microsoft.com/office/spreadsheetml/2009/9/main" objectType="Radio" checked="Checked" lockText="1" noThreeD="1"/>
</file>

<file path=xl/ctrlProps/ctrlProp18.xml><?xml version="1.0" encoding="utf-8"?>
<formControlPr xmlns="http://schemas.microsoft.com/office/spreadsheetml/2009/9/main" objectType="GBox" noThreeD="1"/>
</file>

<file path=xl/ctrlProps/ctrlProp19.xml><?xml version="1.0" encoding="utf-8"?>
<formControlPr xmlns="http://schemas.microsoft.com/office/spreadsheetml/2009/9/main" objectType="GBox" noThreeD="1"/>
</file>

<file path=xl/ctrlProps/ctrlProp20.xml><?xml version="1.0" encoding="utf-8"?>
<formControlPr xmlns="http://schemas.microsoft.com/office/spreadsheetml/2009/9/main" objectType="GBox" noThreeD="1"/>
</file>

<file path=xl/ctrlProps/ctrlProp21.xml><?xml version="1.0" encoding="utf-8"?>
<formControlPr xmlns="http://schemas.microsoft.com/office/spreadsheetml/2009/9/main" objectType="GBox" noThreeD="1"/>
</file>

<file path=xl/ctrlProps/ctrlProp22.xml><?xml version="1.0" encoding="utf-8"?>
<formControlPr xmlns="http://schemas.microsoft.com/office/spreadsheetml/2009/9/main" objectType="Radio" firstButton="1" fmlaLink="G7" lockText="1" noThreeD="1"/>
</file>

<file path=xl/ctrlProps/ctrlProp23.xml><?xml version="1.0" encoding="utf-8"?>
<formControlPr xmlns="http://schemas.microsoft.com/office/spreadsheetml/2009/9/main" objectType="Radio" lockText="1" noThreeD="1"/>
</file>

<file path=xl/ctrlProps/ctrlProp24.xml><?xml version="1.0" encoding="utf-8"?>
<formControlPr xmlns="http://schemas.microsoft.com/office/spreadsheetml/2009/9/main" objectType="Radio" checked="Checked" lockText="1" noThreeD="1"/>
</file>

<file path=xl/ctrlProps/ctrlProp25.xml><?xml version="1.0" encoding="utf-8"?>
<formControlPr xmlns="http://schemas.microsoft.com/office/spreadsheetml/2009/9/main" objectType="Radio" firstButton="1" fmlaLink="G8" lockText="1" noThreeD="1"/>
</file>

<file path=xl/ctrlProps/ctrlProp26.xml><?xml version="1.0" encoding="utf-8"?>
<formControlPr xmlns="http://schemas.microsoft.com/office/spreadsheetml/2009/9/main" objectType="Radio" lockText="1" noThreeD="1"/>
</file>

<file path=xl/ctrlProps/ctrlProp27.xml><?xml version="1.0" encoding="utf-8"?>
<formControlPr xmlns="http://schemas.microsoft.com/office/spreadsheetml/2009/9/main" objectType="Radio" checked="Checked" lockText="1" noThreeD="1"/>
</file>

<file path=xl/ctrlProps/ctrlProp28.xml><?xml version="1.0" encoding="utf-8"?>
<formControlPr xmlns="http://schemas.microsoft.com/office/spreadsheetml/2009/9/main" objectType="Radio" firstButton="1" fmlaLink="G9" lockText="1" noThreeD="1"/>
</file>

<file path=xl/ctrlProps/ctrlProp29.xml><?xml version="1.0" encoding="utf-8"?>
<formControlPr xmlns="http://schemas.microsoft.com/office/spreadsheetml/2009/9/main" objectType="Radio" lockText="1" noThreeD="1"/>
</file>

<file path=xl/ctrlProps/ctrlProp30.xml><?xml version="1.0" encoding="utf-8"?>
<formControlPr xmlns="http://schemas.microsoft.com/office/spreadsheetml/2009/9/main" objectType="Radio" checked="Checked" lockText="1" noThreeD="1"/>
</file>

<file path=xl/ctrlProps/ctrlProp31.xml><?xml version="1.0" encoding="utf-8"?>
<formControlPr xmlns="http://schemas.microsoft.com/office/spreadsheetml/2009/9/main" objectType="GBox" noThreeD="1"/>
</file>

<file path=xl/ctrlProps/ctrlProp32.xml><?xml version="1.0" encoding="utf-8"?>
<formControlPr xmlns="http://schemas.microsoft.com/office/spreadsheetml/2009/9/main" objectType="GBox" noThreeD="1"/>
</file>

<file path=xl/ctrlProps/ctrlProp33.xml><?xml version="1.0" encoding="utf-8"?>
<formControlPr xmlns="http://schemas.microsoft.com/office/spreadsheetml/2009/9/main" objectType="GBox" noThreeD="1"/>
</file>

<file path=xl/ctrlProps/ctrlProp34.xml><?xml version="1.0" encoding="utf-8"?>
<formControlPr xmlns="http://schemas.microsoft.com/office/spreadsheetml/2009/9/main" objectType="Radio" firstButton="1" fmlaLink="$G$33" lockText="1" noThreeD="1"/>
</file>

<file path=xl/ctrlProps/ctrlProp35.xml><?xml version="1.0" encoding="utf-8"?>
<formControlPr xmlns="http://schemas.microsoft.com/office/spreadsheetml/2009/9/main" objectType="Radio" lockText="1" noThreeD="1"/>
</file>

<file path=xl/ctrlProps/ctrlProp36.xml><?xml version="1.0" encoding="utf-8"?>
<formControlPr xmlns="http://schemas.microsoft.com/office/spreadsheetml/2009/9/main" objectType="Radio" checked="Checked" lockText="1" noThreeD="1"/>
</file>

<file path=xl/ctrlProps/ctrlProp37.xml><?xml version="1.0" encoding="utf-8"?>
<formControlPr xmlns="http://schemas.microsoft.com/office/spreadsheetml/2009/9/main" objectType="Radio" firstButton="1" fmlaLink="$G$34" lockText="1" noThreeD="1"/>
</file>

<file path=xl/ctrlProps/ctrlProp38.xml><?xml version="1.0" encoding="utf-8"?>
<formControlPr xmlns="http://schemas.microsoft.com/office/spreadsheetml/2009/9/main" objectType="Radio" lockText="1" noThreeD="1"/>
</file>

<file path=xl/ctrlProps/ctrlProp39.xml><?xml version="1.0" encoding="utf-8"?>
<formControlPr xmlns="http://schemas.microsoft.com/office/spreadsheetml/2009/9/main" objectType="Radio" checked="Checked" lockText="1" noThreeD="1"/>
</file>

<file path=xl/ctrlProps/ctrlProp40.xml><?xml version="1.0" encoding="utf-8"?>
<formControlPr xmlns="http://schemas.microsoft.com/office/spreadsheetml/2009/9/main" objectType="GBox" noThreeD="1"/>
</file>

<file path=xl/ctrlProps/ctrlProp41.xml><?xml version="1.0" encoding="utf-8"?>
<formControlPr xmlns="http://schemas.microsoft.com/office/spreadsheetml/2009/9/main" objectType="G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3</xdr:row>
          <xdr:rowOff>9525</xdr:rowOff>
        </xdr:from>
        <xdr:to>
          <xdr:col>4</xdr:col>
          <xdr:colOff>1038225</xdr:colOff>
          <xdr:row>3</xdr:row>
          <xdr:rowOff>171450</xdr:rowOff>
        </xdr:to>
        <xdr:sp macro="" textlink="">
          <xdr:nvSpPr>
            <xdr:cNvPr id="2099" name="Drop Down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0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142875</xdr:colOff>
          <xdr:row>2</xdr:row>
          <xdr:rowOff>161647</xdr:rowOff>
        </xdr:from>
        <xdr:to>
          <xdr:col>19</xdr:col>
          <xdr:colOff>294774</xdr:colOff>
          <xdr:row>29</xdr:row>
          <xdr:rowOff>0</xdr:rowOff>
        </xdr:to>
        <xdr:pic>
          <xdr:nvPicPr>
            <xdr:cNvPr id="8" name="Picture 7">
              <a:extLst>
                <a:ext uri="{FF2B5EF4-FFF2-40B4-BE49-F238E27FC236}">
                  <a16:creationId xmlns:a16="http://schemas.microsoft.com/office/drawing/2014/main" id="{96118699-91B2-4788-9E2A-1183F54A50CE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ash_Flow_Forecast!$B$6:$X$44" spid="_x0000_s2270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9307286" y="576665"/>
              <a:ext cx="10262006" cy="4614460"/>
            </a:xfrm>
            <a:prstGeom prst="rect">
              <a:avLst/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142</xdr:row>
          <xdr:rowOff>0</xdr:rowOff>
        </xdr:from>
        <xdr:to>
          <xdr:col>5</xdr:col>
          <xdr:colOff>28575</xdr:colOff>
          <xdr:row>143</xdr:row>
          <xdr:rowOff>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15</xdr:row>
          <xdr:rowOff>19050</xdr:rowOff>
        </xdr:from>
        <xdr:to>
          <xdr:col>5</xdr:col>
          <xdr:colOff>139700</xdr:colOff>
          <xdr:row>15</xdr:row>
          <xdr:rowOff>190500</xdr:rowOff>
        </xdr:to>
        <xdr:sp macro="" textlink="">
          <xdr:nvSpPr>
            <xdr:cNvPr id="4098" name="Option Butto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8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15</xdr:row>
          <xdr:rowOff>19050</xdr:rowOff>
        </xdr:from>
        <xdr:to>
          <xdr:col>5</xdr:col>
          <xdr:colOff>419100</xdr:colOff>
          <xdr:row>15</xdr:row>
          <xdr:rowOff>190500</xdr:rowOff>
        </xdr:to>
        <xdr:sp macro="" textlink="">
          <xdr:nvSpPr>
            <xdr:cNvPr id="4099" name="Option Butto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8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15</xdr:row>
          <xdr:rowOff>19050</xdr:rowOff>
        </xdr:from>
        <xdr:to>
          <xdr:col>7</xdr:col>
          <xdr:colOff>73025</xdr:colOff>
          <xdr:row>15</xdr:row>
          <xdr:rowOff>190500</xdr:rowOff>
        </xdr:to>
        <xdr:sp macro="" textlink="">
          <xdr:nvSpPr>
            <xdr:cNvPr id="4100" name="Option Button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8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22</xdr:row>
          <xdr:rowOff>19050</xdr:rowOff>
        </xdr:from>
        <xdr:to>
          <xdr:col>5</xdr:col>
          <xdr:colOff>139700</xdr:colOff>
          <xdr:row>22</xdr:row>
          <xdr:rowOff>190500</xdr:rowOff>
        </xdr:to>
        <xdr:sp macro="" textlink="">
          <xdr:nvSpPr>
            <xdr:cNvPr id="4101" name="Option Button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8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22</xdr:row>
          <xdr:rowOff>19050</xdr:rowOff>
        </xdr:from>
        <xdr:to>
          <xdr:col>5</xdr:col>
          <xdr:colOff>419100</xdr:colOff>
          <xdr:row>22</xdr:row>
          <xdr:rowOff>190500</xdr:rowOff>
        </xdr:to>
        <xdr:sp macro="" textlink="">
          <xdr:nvSpPr>
            <xdr:cNvPr id="4102" name="Option Button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8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22</xdr:row>
          <xdr:rowOff>19050</xdr:rowOff>
        </xdr:from>
        <xdr:to>
          <xdr:col>7</xdr:col>
          <xdr:colOff>73025</xdr:colOff>
          <xdr:row>22</xdr:row>
          <xdr:rowOff>190500</xdr:rowOff>
        </xdr:to>
        <xdr:sp macro="" textlink="">
          <xdr:nvSpPr>
            <xdr:cNvPr id="4103" name="Option Button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8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23</xdr:row>
          <xdr:rowOff>19050</xdr:rowOff>
        </xdr:from>
        <xdr:to>
          <xdr:col>5</xdr:col>
          <xdr:colOff>139700</xdr:colOff>
          <xdr:row>23</xdr:row>
          <xdr:rowOff>190500</xdr:rowOff>
        </xdr:to>
        <xdr:sp macro="" textlink="">
          <xdr:nvSpPr>
            <xdr:cNvPr id="4104" name="Option Button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8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23</xdr:row>
          <xdr:rowOff>19050</xdr:rowOff>
        </xdr:from>
        <xdr:to>
          <xdr:col>5</xdr:col>
          <xdr:colOff>419100</xdr:colOff>
          <xdr:row>23</xdr:row>
          <xdr:rowOff>190500</xdr:rowOff>
        </xdr:to>
        <xdr:sp macro="" textlink="">
          <xdr:nvSpPr>
            <xdr:cNvPr id="4105" name="Option Button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8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23</xdr:row>
          <xdr:rowOff>19050</xdr:rowOff>
        </xdr:from>
        <xdr:to>
          <xdr:col>7</xdr:col>
          <xdr:colOff>73025</xdr:colOff>
          <xdr:row>23</xdr:row>
          <xdr:rowOff>190500</xdr:rowOff>
        </xdr:to>
        <xdr:sp macro="" textlink="">
          <xdr:nvSpPr>
            <xdr:cNvPr id="4106" name="Option Button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8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24</xdr:row>
          <xdr:rowOff>19050</xdr:rowOff>
        </xdr:from>
        <xdr:to>
          <xdr:col>5</xdr:col>
          <xdr:colOff>139700</xdr:colOff>
          <xdr:row>24</xdr:row>
          <xdr:rowOff>190500</xdr:rowOff>
        </xdr:to>
        <xdr:sp macro="" textlink="">
          <xdr:nvSpPr>
            <xdr:cNvPr id="4107" name="Option Button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8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24</xdr:row>
          <xdr:rowOff>19050</xdr:rowOff>
        </xdr:from>
        <xdr:to>
          <xdr:col>5</xdr:col>
          <xdr:colOff>419100</xdr:colOff>
          <xdr:row>24</xdr:row>
          <xdr:rowOff>190500</xdr:rowOff>
        </xdr:to>
        <xdr:sp macro="" textlink="">
          <xdr:nvSpPr>
            <xdr:cNvPr id="4108" name="Option Button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8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24</xdr:row>
          <xdr:rowOff>19050</xdr:rowOff>
        </xdr:from>
        <xdr:to>
          <xdr:col>7</xdr:col>
          <xdr:colOff>73025</xdr:colOff>
          <xdr:row>24</xdr:row>
          <xdr:rowOff>190500</xdr:rowOff>
        </xdr:to>
        <xdr:sp macro="" textlink="">
          <xdr:nvSpPr>
            <xdr:cNvPr id="4109" name="Option Button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8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25</xdr:row>
          <xdr:rowOff>19050</xdr:rowOff>
        </xdr:from>
        <xdr:to>
          <xdr:col>5</xdr:col>
          <xdr:colOff>139700</xdr:colOff>
          <xdr:row>25</xdr:row>
          <xdr:rowOff>190500</xdr:rowOff>
        </xdr:to>
        <xdr:sp macro="" textlink="">
          <xdr:nvSpPr>
            <xdr:cNvPr id="4110" name="Option Button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8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25</xdr:row>
          <xdr:rowOff>19050</xdr:rowOff>
        </xdr:from>
        <xdr:to>
          <xdr:col>5</xdr:col>
          <xdr:colOff>419100</xdr:colOff>
          <xdr:row>25</xdr:row>
          <xdr:rowOff>190500</xdr:rowOff>
        </xdr:to>
        <xdr:sp macro="" textlink="">
          <xdr:nvSpPr>
            <xdr:cNvPr id="4111" name="Option Button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8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25</xdr:row>
          <xdr:rowOff>19050</xdr:rowOff>
        </xdr:from>
        <xdr:to>
          <xdr:col>7</xdr:col>
          <xdr:colOff>73025</xdr:colOff>
          <xdr:row>25</xdr:row>
          <xdr:rowOff>190500</xdr:rowOff>
        </xdr:to>
        <xdr:sp macro="" textlink="">
          <xdr:nvSpPr>
            <xdr:cNvPr id="4112" name="Option Button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8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6</xdr:row>
          <xdr:rowOff>19050</xdr:rowOff>
        </xdr:from>
        <xdr:to>
          <xdr:col>5</xdr:col>
          <xdr:colOff>139700</xdr:colOff>
          <xdr:row>6</xdr:row>
          <xdr:rowOff>190500</xdr:rowOff>
        </xdr:to>
        <xdr:sp macro="" textlink="">
          <xdr:nvSpPr>
            <xdr:cNvPr id="4130" name="Option Button 34" hidden="1">
              <a:extLst>
                <a:ext uri="{63B3BB69-23CF-44E3-9099-C40C66FF867C}">
                  <a14:compatExt spid="_x0000_s4130"/>
                </a:ext>
                <a:ext uri="{FF2B5EF4-FFF2-40B4-BE49-F238E27FC236}">
                  <a16:creationId xmlns:a16="http://schemas.microsoft.com/office/drawing/2014/main" id="{00000000-0008-0000-0800-00002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6</xdr:row>
          <xdr:rowOff>19050</xdr:rowOff>
        </xdr:from>
        <xdr:to>
          <xdr:col>5</xdr:col>
          <xdr:colOff>419100</xdr:colOff>
          <xdr:row>6</xdr:row>
          <xdr:rowOff>190500</xdr:rowOff>
        </xdr:to>
        <xdr:sp macro="" textlink="">
          <xdr:nvSpPr>
            <xdr:cNvPr id="4131" name="Option Button 35" hidden="1">
              <a:extLst>
                <a:ext uri="{63B3BB69-23CF-44E3-9099-C40C66FF867C}">
                  <a14:compatExt spid="_x0000_s4131"/>
                </a:ext>
                <a:ext uri="{FF2B5EF4-FFF2-40B4-BE49-F238E27FC236}">
                  <a16:creationId xmlns:a16="http://schemas.microsoft.com/office/drawing/2014/main" id="{00000000-0008-0000-0800-00002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6</xdr:row>
          <xdr:rowOff>19050</xdr:rowOff>
        </xdr:from>
        <xdr:to>
          <xdr:col>7</xdr:col>
          <xdr:colOff>73025</xdr:colOff>
          <xdr:row>6</xdr:row>
          <xdr:rowOff>190500</xdr:rowOff>
        </xdr:to>
        <xdr:sp macro="" textlink="">
          <xdr:nvSpPr>
            <xdr:cNvPr id="4132" name="Option Button 36" hidden="1">
              <a:extLst>
                <a:ext uri="{63B3BB69-23CF-44E3-9099-C40C66FF867C}">
                  <a14:compatExt spid="_x0000_s4132"/>
                </a:ext>
                <a:ext uri="{FF2B5EF4-FFF2-40B4-BE49-F238E27FC236}">
                  <a16:creationId xmlns:a16="http://schemas.microsoft.com/office/drawing/2014/main" id="{00000000-0008-0000-0800-00002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7</xdr:row>
          <xdr:rowOff>19050</xdr:rowOff>
        </xdr:from>
        <xdr:to>
          <xdr:col>5</xdr:col>
          <xdr:colOff>139700</xdr:colOff>
          <xdr:row>7</xdr:row>
          <xdr:rowOff>190500</xdr:rowOff>
        </xdr:to>
        <xdr:sp macro="" textlink="">
          <xdr:nvSpPr>
            <xdr:cNvPr id="4133" name="Option Button 37" hidden="1">
              <a:extLst>
                <a:ext uri="{63B3BB69-23CF-44E3-9099-C40C66FF867C}">
                  <a14:compatExt spid="_x0000_s4133"/>
                </a:ext>
                <a:ext uri="{FF2B5EF4-FFF2-40B4-BE49-F238E27FC236}">
                  <a16:creationId xmlns:a16="http://schemas.microsoft.com/office/drawing/2014/main" id="{00000000-0008-0000-0800-00002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7</xdr:row>
          <xdr:rowOff>19050</xdr:rowOff>
        </xdr:from>
        <xdr:to>
          <xdr:col>5</xdr:col>
          <xdr:colOff>419100</xdr:colOff>
          <xdr:row>7</xdr:row>
          <xdr:rowOff>190500</xdr:rowOff>
        </xdr:to>
        <xdr:sp macro="" textlink="">
          <xdr:nvSpPr>
            <xdr:cNvPr id="4134" name="Option Button 38" hidden="1">
              <a:extLst>
                <a:ext uri="{63B3BB69-23CF-44E3-9099-C40C66FF867C}">
                  <a14:compatExt spid="_x0000_s4134"/>
                </a:ext>
                <a:ext uri="{FF2B5EF4-FFF2-40B4-BE49-F238E27FC236}">
                  <a16:creationId xmlns:a16="http://schemas.microsoft.com/office/drawing/2014/main" id="{00000000-0008-0000-0800-00002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7</xdr:row>
          <xdr:rowOff>19050</xdr:rowOff>
        </xdr:from>
        <xdr:to>
          <xdr:col>7</xdr:col>
          <xdr:colOff>73025</xdr:colOff>
          <xdr:row>7</xdr:row>
          <xdr:rowOff>190500</xdr:rowOff>
        </xdr:to>
        <xdr:sp macro="" textlink="">
          <xdr:nvSpPr>
            <xdr:cNvPr id="4135" name="Option Button 39" hidden="1">
              <a:extLst>
                <a:ext uri="{63B3BB69-23CF-44E3-9099-C40C66FF867C}">
                  <a14:compatExt spid="_x0000_s4135"/>
                </a:ext>
                <a:ext uri="{FF2B5EF4-FFF2-40B4-BE49-F238E27FC236}">
                  <a16:creationId xmlns:a16="http://schemas.microsoft.com/office/drawing/2014/main" id="{00000000-0008-0000-0800-00002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8</xdr:row>
          <xdr:rowOff>19050</xdr:rowOff>
        </xdr:from>
        <xdr:to>
          <xdr:col>5</xdr:col>
          <xdr:colOff>139700</xdr:colOff>
          <xdr:row>8</xdr:row>
          <xdr:rowOff>190500</xdr:rowOff>
        </xdr:to>
        <xdr:sp macro="" textlink="">
          <xdr:nvSpPr>
            <xdr:cNvPr id="4136" name="Option Button 40" hidden="1">
              <a:extLst>
                <a:ext uri="{63B3BB69-23CF-44E3-9099-C40C66FF867C}">
                  <a14:compatExt spid="_x0000_s4136"/>
                </a:ext>
                <a:ext uri="{FF2B5EF4-FFF2-40B4-BE49-F238E27FC236}">
                  <a16:creationId xmlns:a16="http://schemas.microsoft.com/office/drawing/2014/main" id="{00000000-0008-0000-0800-00002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8</xdr:row>
          <xdr:rowOff>19050</xdr:rowOff>
        </xdr:from>
        <xdr:to>
          <xdr:col>5</xdr:col>
          <xdr:colOff>419100</xdr:colOff>
          <xdr:row>8</xdr:row>
          <xdr:rowOff>190500</xdr:rowOff>
        </xdr:to>
        <xdr:sp macro="" textlink="">
          <xdr:nvSpPr>
            <xdr:cNvPr id="4137" name="Option Button 41" hidden="1">
              <a:extLst>
                <a:ext uri="{63B3BB69-23CF-44E3-9099-C40C66FF867C}">
                  <a14:compatExt spid="_x0000_s4137"/>
                </a:ext>
                <a:ext uri="{FF2B5EF4-FFF2-40B4-BE49-F238E27FC236}">
                  <a16:creationId xmlns:a16="http://schemas.microsoft.com/office/drawing/2014/main" id="{00000000-0008-0000-0800-00002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8</xdr:row>
          <xdr:rowOff>19050</xdr:rowOff>
        </xdr:from>
        <xdr:to>
          <xdr:col>7</xdr:col>
          <xdr:colOff>73025</xdr:colOff>
          <xdr:row>8</xdr:row>
          <xdr:rowOff>190500</xdr:rowOff>
        </xdr:to>
        <xdr:sp macro="" textlink="">
          <xdr:nvSpPr>
            <xdr:cNvPr id="4138" name="Option Button 42" hidden="1">
              <a:extLst>
                <a:ext uri="{63B3BB69-23CF-44E3-9099-C40C66FF867C}">
                  <a14:compatExt spid="_x0000_s4138"/>
                </a:ext>
                <a:ext uri="{FF2B5EF4-FFF2-40B4-BE49-F238E27FC236}">
                  <a16:creationId xmlns:a16="http://schemas.microsoft.com/office/drawing/2014/main" id="{00000000-0008-0000-0800-00002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32</xdr:row>
          <xdr:rowOff>19050</xdr:rowOff>
        </xdr:from>
        <xdr:to>
          <xdr:col>5</xdr:col>
          <xdr:colOff>139700</xdr:colOff>
          <xdr:row>32</xdr:row>
          <xdr:rowOff>190500</xdr:rowOff>
        </xdr:to>
        <xdr:sp macro="" textlink="">
          <xdr:nvSpPr>
            <xdr:cNvPr id="4143" name="Option Button 47" hidden="1">
              <a:extLst>
                <a:ext uri="{63B3BB69-23CF-44E3-9099-C40C66FF867C}">
                  <a14:compatExt spid="_x0000_s4143"/>
                </a:ext>
                <a:ext uri="{FF2B5EF4-FFF2-40B4-BE49-F238E27FC236}">
                  <a16:creationId xmlns:a16="http://schemas.microsoft.com/office/drawing/2014/main" id="{00000000-0008-0000-0800-00002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32</xdr:row>
          <xdr:rowOff>19050</xdr:rowOff>
        </xdr:from>
        <xdr:to>
          <xdr:col>5</xdr:col>
          <xdr:colOff>419100</xdr:colOff>
          <xdr:row>32</xdr:row>
          <xdr:rowOff>190500</xdr:rowOff>
        </xdr:to>
        <xdr:sp macro="" textlink="">
          <xdr:nvSpPr>
            <xdr:cNvPr id="4144" name="Option Button 48" hidden="1">
              <a:extLst>
                <a:ext uri="{63B3BB69-23CF-44E3-9099-C40C66FF867C}">
                  <a14:compatExt spid="_x0000_s4144"/>
                </a:ext>
                <a:ext uri="{FF2B5EF4-FFF2-40B4-BE49-F238E27FC236}">
                  <a16:creationId xmlns:a16="http://schemas.microsoft.com/office/drawing/2014/main" id="{00000000-0008-0000-0800-00003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32</xdr:row>
          <xdr:rowOff>19050</xdr:rowOff>
        </xdr:from>
        <xdr:to>
          <xdr:col>7</xdr:col>
          <xdr:colOff>73025</xdr:colOff>
          <xdr:row>32</xdr:row>
          <xdr:rowOff>190500</xdr:rowOff>
        </xdr:to>
        <xdr:sp macro="" textlink="">
          <xdr:nvSpPr>
            <xdr:cNvPr id="4145" name="Option Button 49" hidden="1">
              <a:extLst>
                <a:ext uri="{63B3BB69-23CF-44E3-9099-C40C66FF867C}">
                  <a14:compatExt spid="_x0000_s4145"/>
                </a:ext>
                <a:ext uri="{FF2B5EF4-FFF2-40B4-BE49-F238E27FC236}">
                  <a16:creationId xmlns:a16="http://schemas.microsoft.com/office/drawing/2014/main" id="{00000000-0008-0000-0800-00003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209550</xdr:colOff>
          <xdr:row>33</xdr:row>
          <xdr:rowOff>19050</xdr:rowOff>
        </xdr:from>
        <xdr:to>
          <xdr:col>5</xdr:col>
          <xdr:colOff>139700</xdr:colOff>
          <xdr:row>33</xdr:row>
          <xdr:rowOff>190500</xdr:rowOff>
        </xdr:to>
        <xdr:sp macro="" textlink="">
          <xdr:nvSpPr>
            <xdr:cNvPr id="4146" name="Option Button 50" hidden="1">
              <a:extLst>
                <a:ext uri="{63B3BB69-23CF-44E3-9099-C40C66FF867C}">
                  <a14:compatExt spid="_x0000_s4146"/>
                </a:ext>
                <a:ext uri="{FF2B5EF4-FFF2-40B4-BE49-F238E27FC236}">
                  <a16:creationId xmlns:a16="http://schemas.microsoft.com/office/drawing/2014/main" id="{00000000-0008-0000-0800-00003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209550</xdr:colOff>
          <xdr:row>33</xdr:row>
          <xdr:rowOff>19050</xdr:rowOff>
        </xdr:from>
        <xdr:to>
          <xdr:col>5</xdr:col>
          <xdr:colOff>419100</xdr:colOff>
          <xdr:row>33</xdr:row>
          <xdr:rowOff>190500</xdr:rowOff>
        </xdr:to>
        <xdr:sp macro="" textlink="">
          <xdr:nvSpPr>
            <xdr:cNvPr id="4147" name="Option Button 51" hidden="1">
              <a:extLst>
                <a:ext uri="{63B3BB69-23CF-44E3-9099-C40C66FF867C}">
                  <a14:compatExt spid="_x0000_s4147"/>
                </a:ext>
                <a:ext uri="{FF2B5EF4-FFF2-40B4-BE49-F238E27FC236}">
                  <a16:creationId xmlns:a16="http://schemas.microsoft.com/office/drawing/2014/main" id="{00000000-0008-0000-0800-00003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219075</xdr:colOff>
          <xdr:row>33</xdr:row>
          <xdr:rowOff>19050</xdr:rowOff>
        </xdr:from>
        <xdr:to>
          <xdr:col>7</xdr:col>
          <xdr:colOff>73025</xdr:colOff>
          <xdr:row>33</xdr:row>
          <xdr:rowOff>190500</xdr:rowOff>
        </xdr:to>
        <xdr:sp macro="" textlink="">
          <xdr:nvSpPr>
            <xdr:cNvPr id="4148" name="Option Button 52" hidden="1">
              <a:extLst>
                <a:ext uri="{63B3BB69-23CF-44E3-9099-C40C66FF867C}">
                  <a14:compatExt spid="_x0000_s4148"/>
                </a:ext>
                <a:ext uri="{FF2B5EF4-FFF2-40B4-BE49-F238E27FC236}">
                  <a16:creationId xmlns:a16="http://schemas.microsoft.com/office/drawing/2014/main" id="{00000000-0008-0000-0800-00003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</xdr:colOff>
          <xdr:row>14</xdr:row>
          <xdr:rowOff>161925</xdr:rowOff>
        </xdr:from>
        <xdr:to>
          <xdr:col>8</xdr:col>
          <xdr:colOff>247650</xdr:colOff>
          <xdr:row>16</xdr:row>
          <xdr:rowOff>57150</xdr:rowOff>
        </xdr:to>
        <xdr:sp macro="" textlink="">
          <xdr:nvSpPr>
            <xdr:cNvPr id="4113" name="Group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8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17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22</xdr:row>
          <xdr:rowOff>9525</xdr:rowOff>
        </xdr:from>
        <xdr:to>
          <xdr:col>8</xdr:col>
          <xdr:colOff>371475</xdr:colOff>
          <xdr:row>23</xdr:row>
          <xdr:rowOff>0</xdr:rowOff>
        </xdr:to>
        <xdr:sp macro="" textlink="">
          <xdr:nvSpPr>
            <xdr:cNvPr id="4114" name="Group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8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18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9525</xdr:rowOff>
        </xdr:from>
        <xdr:to>
          <xdr:col>8</xdr:col>
          <xdr:colOff>381000</xdr:colOff>
          <xdr:row>25</xdr:row>
          <xdr:rowOff>0</xdr:rowOff>
        </xdr:to>
        <xdr:sp macro="" textlink="">
          <xdr:nvSpPr>
            <xdr:cNvPr id="4116" name="Group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8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sdf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24</xdr:row>
          <xdr:rowOff>200025</xdr:rowOff>
        </xdr:from>
        <xdr:to>
          <xdr:col>8</xdr:col>
          <xdr:colOff>381000</xdr:colOff>
          <xdr:row>26</xdr:row>
          <xdr:rowOff>0</xdr:rowOff>
        </xdr:to>
        <xdr:sp macro="" textlink="">
          <xdr:nvSpPr>
            <xdr:cNvPr id="4117" name="Group Box 21" hidden="1">
              <a:extLst>
                <a:ext uri="{63B3BB69-23CF-44E3-9099-C40C66FF867C}">
                  <a14:compatExt spid="_x0000_s4117"/>
                </a:ext>
                <a:ext uri="{FF2B5EF4-FFF2-40B4-BE49-F238E27FC236}">
                  <a16:creationId xmlns:a16="http://schemas.microsoft.com/office/drawing/2014/main" id="{00000000-0008-0000-0800-00001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21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7</xdr:row>
          <xdr:rowOff>9525</xdr:rowOff>
        </xdr:from>
        <xdr:to>
          <xdr:col>8</xdr:col>
          <xdr:colOff>238125</xdr:colOff>
          <xdr:row>7</xdr:row>
          <xdr:rowOff>200025</xdr:rowOff>
        </xdr:to>
        <xdr:sp macro="" textlink="">
          <xdr:nvSpPr>
            <xdr:cNvPr id="4140" name="Group Box 44" hidden="1">
              <a:extLst>
                <a:ext uri="{63B3BB69-23CF-44E3-9099-C40C66FF867C}">
                  <a14:compatExt spid="_x0000_s4140"/>
                </a:ext>
                <a:ext uri="{FF2B5EF4-FFF2-40B4-BE49-F238E27FC236}">
                  <a16:creationId xmlns:a16="http://schemas.microsoft.com/office/drawing/2014/main" id="{00000000-0008-0000-0800-00002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44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8</xdr:row>
          <xdr:rowOff>19050</xdr:rowOff>
        </xdr:from>
        <xdr:to>
          <xdr:col>8</xdr:col>
          <xdr:colOff>238125</xdr:colOff>
          <xdr:row>9</xdr:row>
          <xdr:rowOff>57150</xdr:rowOff>
        </xdr:to>
        <xdr:sp macro="" textlink="">
          <xdr:nvSpPr>
            <xdr:cNvPr id="4141" name="Group Box 45" hidden="1">
              <a:extLst>
                <a:ext uri="{63B3BB69-23CF-44E3-9099-C40C66FF867C}">
                  <a14:compatExt spid="_x0000_s4141"/>
                </a:ext>
                <a:ext uri="{FF2B5EF4-FFF2-40B4-BE49-F238E27FC236}">
                  <a16:creationId xmlns:a16="http://schemas.microsoft.com/office/drawing/2014/main" id="{00000000-0008-0000-0800-00002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45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6</xdr:row>
          <xdr:rowOff>0</xdr:rowOff>
        </xdr:from>
        <xdr:to>
          <xdr:col>8</xdr:col>
          <xdr:colOff>238125</xdr:colOff>
          <xdr:row>7</xdr:row>
          <xdr:rowOff>66675</xdr:rowOff>
        </xdr:to>
        <xdr:sp macro="" textlink="">
          <xdr:nvSpPr>
            <xdr:cNvPr id="4142" name="Group Box 46" hidden="1">
              <a:extLst>
                <a:ext uri="{63B3BB69-23CF-44E3-9099-C40C66FF867C}">
                  <a14:compatExt spid="_x0000_s4142"/>
                </a:ext>
                <a:ext uri="{FF2B5EF4-FFF2-40B4-BE49-F238E27FC236}">
                  <a16:creationId xmlns:a16="http://schemas.microsoft.com/office/drawing/2014/main" id="{00000000-0008-0000-0800-00002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46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31</xdr:row>
          <xdr:rowOff>123825</xdr:rowOff>
        </xdr:from>
        <xdr:to>
          <xdr:col>8</xdr:col>
          <xdr:colOff>371475</xdr:colOff>
          <xdr:row>32</xdr:row>
          <xdr:rowOff>200025</xdr:rowOff>
        </xdr:to>
        <xdr:sp macro="" textlink="">
          <xdr:nvSpPr>
            <xdr:cNvPr id="4149" name="Group Box 53" hidden="1">
              <a:extLst>
                <a:ext uri="{63B3BB69-23CF-44E3-9099-C40C66FF867C}">
                  <a14:compatExt spid="_x0000_s4149"/>
                </a:ext>
                <a:ext uri="{FF2B5EF4-FFF2-40B4-BE49-F238E27FC236}">
                  <a16:creationId xmlns:a16="http://schemas.microsoft.com/office/drawing/2014/main" id="{00000000-0008-0000-0800-00003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53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76200</xdr:colOff>
          <xdr:row>33</xdr:row>
          <xdr:rowOff>9525</xdr:rowOff>
        </xdr:from>
        <xdr:to>
          <xdr:col>8</xdr:col>
          <xdr:colOff>257175</xdr:colOff>
          <xdr:row>34</xdr:row>
          <xdr:rowOff>57150</xdr:rowOff>
        </xdr:to>
        <xdr:sp macro="" textlink="">
          <xdr:nvSpPr>
            <xdr:cNvPr id="4150" name="Group Box 54" hidden="1">
              <a:extLst>
                <a:ext uri="{63B3BB69-23CF-44E3-9099-C40C66FF867C}">
                  <a14:compatExt spid="_x0000_s4150"/>
                </a:ext>
                <a:ext uri="{FF2B5EF4-FFF2-40B4-BE49-F238E27FC236}">
                  <a16:creationId xmlns:a16="http://schemas.microsoft.com/office/drawing/2014/main" id="{00000000-0008-0000-0800-00003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Group Box 54</a:t>
              </a:r>
            </a:p>
          </xdr:txBody>
        </xdr:sp>
        <xdr:clientData/>
      </xdr:twoCellAnchor>
    </mc:Choice>
    <mc:Fallback/>
  </mc:AlternateContent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XFControls"/>
  <bag type="XFComplement">
    <bagId k="XFControls">4</bagId>
  </bag>
  <bag type="DXFComplements" extRef="DXFComplementsMapperExtRef">
    <a k="MappedFeaturePropertyBags">
      <bagId>5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B1E558-3808-47EB-BF5F-8375EF210FF3}" name="sales_forecast_tbl" displayName="sales_forecast_tbl" ref="B5:R80" totalsRowCount="1" headerRowDxfId="175" dataDxfId="174" totalsRowDxfId="173">
  <tableColumns count="17">
    <tableColumn id="1" xr3:uid="{F0F8F6AE-6CC3-4A3F-9365-9E5090997E4B}" name="Customer Name" totalsRowLabel="Total" dataDxfId="172" totalsRowDxfId="171"/>
    <tableColumn id="2" xr3:uid="{FEB19EEE-54ED-4904-9431-06B3EBE33B1A}" name="Category" dataDxfId="170" totalsRowDxfId="169"/>
    <tableColumn id="20" xr3:uid="{3C0742F3-9679-4429-B2EA-8B62CD5DACB3}" name="Toggle" dataDxfId="168" totalsRowDxfId="167">
      <calculatedColumnFormula array="1">_xlfn.XLOOKUP(sales_forecast_tbl[[#This Row],[Customer Name]],_xlfn.ANCHORARRAY(Assumptions!$C$34),Assumptions!$D$34:$D$107)</calculatedColumnFormula>
    </tableColumn>
    <tableColumn id="16" xr3:uid="{8910E65B-588B-4CF9-B29F-4AB0524F2FD9}" name="Jan-25" totalsRowFunction="sum" dataDxfId="166" totalsRowDxfId="165" dataCellStyle="Comma"/>
    <tableColumn id="4" xr3:uid="{6430B456-EA41-497A-B50F-B12C990D4F22}" name="Feb-25" totalsRowFunction="sum" dataDxfId="164" totalsRowDxfId="163" dataCellStyle="Comma"/>
    <tableColumn id="5" xr3:uid="{A204F1AB-E728-460C-ADB7-3405F8BC75E4}" name="Mar-25" totalsRowFunction="sum" dataDxfId="162" totalsRowDxfId="161" dataCellStyle="Comma"/>
    <tableColumn id="6" xr3:uid="{589EABFD-53FF-4207-9B27-06368E0A6939}" name="Apr-25" totalsRowFunction="sum" dataDxfId="160" totalsRowDxfId="159" dataCellStyle="Comma"/>
    <tableColumn id="7" xr3:uid="{843A522B-80B2-41C6-8FC3-DE81285FFE41}" name="May-25" totalsRowFunction="sum" dataDxfId="158" totalsRowDxfId="157" dataCellStyle="Comma"/>
    <tableColumn id="8" xr3:uid="{E0C1AA83-B11D-42F3-A605-C77615BCEDCE}" name="Jun-25" totalsRowFunction="sum" dataDxfId="156" totalsRowDxfId="155" dataCellStyle="Comma"/>
    <tableColumn id="9" xr3:uid="{CE78BA99-2BC9-4506-8FDF-D40FD92F7925}" name="Jul-25" totalsRowFunction="sum" dataDxfId="154" totalsRowDxfId="153" dataCellStyle="Comma"/>
    <tableColumn id="10" xr3:uid="{F835E070-2FC6-4BA5-8FEC-F80FBAA00229}" name="Aug-25" totalsRowFunction="sum" dataDxfId="152" totalsRowDxfId="151" dataCellStyle="Comma"/>
    <tableColumn id="11" xr3:uid="{C7D4EC6B-6F54-4235-9201-39F2BDC7FFD2}" name="Sep-25" totalsRowFunction="sum" dataDxfId="150" totalsRowDxfId="149" dataCellStyle="Comma"/>
    <tableColumn id="12" xr3:uid="{60FDD530-AF0C-4935-A471-992C82ADBDD3}" name="Oct-25" totalsRowFunction="sum" dataDxfId="148" totalsRowDxfId="147" dataCellStyle="Comma"/>
    <tableColumn id="13" xr3:uid="{A8E3715D-2D53-44CD-9FEF-C5AB26FAF5F0}" name="Nov-25" totalsRowFunction="sum" dataDxfId="146" totalsRowDxfId="145" dataCellStyle="Comma"/>
    <tableColumn id="14" xr3:uid="{00A9CABF-C024-4E30-98F3-6D04551A1B00}" name="Dec-25" totalsRowFunction="sum" dataDxfId="144" totalsRowDxfId="143" dataCellStyle="Comma"/>
    <tableColumn id="15" xr3:uid="{0DC06C75-F30F-46BC-A4BD-F0D3804B9685}" name="Jan-26" totalsRowFunction="sum" dataDxfId="142" totalsRowDxfId="141" dataCellStyle="Comma"/>
    <tableColumn id="19" xr3:uid="{E12094AA-15DE-476E-8601-FAB4503E5929}" name="Total" totalsRowFunction="sum" dataDxfId="140" totalsRowDxfId="139" dataCellStyle="Comma">
      <calculatedColumnFormula>SUM(#REF!)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FAFD78-2918-4A40-8A2B-70D4A5FA27E4}" name="payroll_schedule_tbl" displayName="payroll_schedule_tbl" ref="B5:AC41" totalsRowCount="1" headerRowDxfId="138" dataDxfId="136" totalsRowDxfId="134" headerRowBorderDxfId="137" tableBorderDxfId="135">
  <sortState xmlns:xlrd2="http://schemas.microsoft.com/office/spreadsheetml/2017/richdata2" ref="B6:AA40">
    <sortCondition ref="G6:G40"/>
  </sortState>
  <tableColumns count="28">
    <tableColumn id="1" xr3:uid="{25297572-6CD5-44C8-A7D0-CD49481FA004}" name="Employee_ID" totalsRowLabel="Total" dataDxfId="55" totalsRowDxfId="27"/>
    <tableColumn id="2" xr3:uid="{733806D4-AA09-45D3-9FA5-A4D3F585B9DA}" name="Employee_Name" totalsRowFunction="custom" dataDxfId="54" totalsRowDxfId="26">
      <totalsRowFormula>"Count of Personnel Roster = "&amp;SUBTOTAL(103,payroll_schedule_tbl[Employee_Name])</totalsRowFormula>
    </tableColumn>
    <tableColumn id="3" xr3:uid="{61954595-22D3-4E1A-A85C-5FEFE534BAB7}" name="Job_Title" dataDxfId="53" totalsRowDxfId="25"/>
    <tableColumn id="4" xr3:uid="{4E2313F8-F71B-43CF-8D41-35E11529B128}" name="Job_Category" dataDxfId="52" totalsRowDxfId="24"/>
    <tableColumn id="9" xr3:uid="{D244A19E-3BA7-4ED5-BA57-720683C948A9}" name="Hired?" totalsRowFunction="custom" dataDxfId="51" totalsRowDxfId="23">
      <totalsRowFormula>"Count of Active Employees = "&amp;COUNTIFS(payroll_schedule_tbl[Hired?],TRUE) - COUNTIFS(payroll_schedule_tbl[End_Date],"&lt;="&amp;EOMONTH(payroll_schedule_tbl[[#Headers],[1/31/2025]],-1))</totalsRowFormula>
    </tableColumn>
    <tableColumn id="21" xr3:uid="{B5F426CD-0152-4D3C-BBDA-7B9B36E449D4}" name="Start_Date" dataDxfId="50" totalsRowDxfId="22"/>
    <tableColumn id="22" xr3:uid="{79E97296-8DBD-403F-A2D2-4392B76AB500}" name="End_Date" dataDxfId="49" totalsRowDxfId="21"/>
    <tableColumn id="5" xr3:uid="{A511DAD2-2F11-4A40-9991-EDA05ADFEFBA}" name="Salary" totalsRowFunction="sum" dataDxfId="48" totalsRowDxfId="20" dataCellStyle="Currency"/>
    <tableColumn id="6" xr3:uid="{6BF24F72-52D9-425A-BF65-C53790F21C28}" name="Deductions" totalsRowFunction="sum" dataDxfId="47" totalsRowDxfId="19" dataCellStyle="Currency"/>
    <tableColumn id="7" xr3:uid="{FA02948F-E403-44EC-B7ED-6966AED40888}" name="Net_Salary" totalsRowFunction="sum" dataDxfId="46" totalsRowDxfId="18" dataCellStyle="Currency">
      <calculatedColumnFormula>payroll_schedule_tbl[[#This Row],[Salary]]-payroll_schedule_tbl[[#This Row],[Deductions]]</calculatedColumnFormula>
    </tableColumn>
    <tableColumn id="8" xr3:uid="{AEB110B8-63AF-44FF-A496-2BC025724288}" name="Annual_Bonus" totalsRowFunction="sum" dataDxfId="45" totalsRowDxfId="17" dataCellStyle="Currency"/>
    <tableColumn id="39" xr3:uid="{5C875EBA-F51B-4BBB-9F7B-0E2730E77BE4}" name="Pro_Rata_Bonus" totalsRowFunction="sum" dataDxfId="44" totalsRowDxfId="16" dataCellStyle="Currency">
      <calculatedColumnFormula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calculatedColumnFormula>
    </tableColumn>
    <tableColumn id="16" xr3:uid="{73D85238-0738-4C5A-A6FB-B56C6A5C40E0}" name="Pay_Bonus?" totalsRowFunction="custom" dataDxfId="43" totalsRowDxfId="15" dataCellStyle="Currency">
      <totalsRowFormula>COUNTIF(payroll_schedule_tbl[Pay_Bonus?],TRUE) / COUNTA(payroll_schedule_tbl[Pay_Bonus?])</totalsRowFormula>
    </tableColumn>
    <tableColumn id="38" xr3:uid="{B796C236-938E-4A10-9EFA-88599A9D3971}" name="Bonus_Month" dataDxfId="42" totalsRowDxfId="14" dataCellStyle="Currency"/>
    <tableColumn id="34" xr3:uid="{3A61A661-DA22-41A5-A818-300CC7EC608B}" name="1/31/2025" totalsRowFunction="sum" dataDxfId="41" totalsRowDxfId="13">
      <calculatedColumnFormula>_xlfn.LET(
    _xlpm.MONTH_START, DATE(2025, COLUMN(P6)-COLUMN($P6)+1,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5" xr3:uid="{50223154-8FA3-42D7-9F38-BAD0B40EEC7A}" name="2/28/2025" totalsRowFunction="sum" dataDxfId="40" totalsRowDxfId="12">
      <calculatedColumnFormula>_xlfn.LET(
    _xlpm.MONTH_START, DATE(2025, COLUMN(Q6)-COLUMN($P6)+1,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6" xr3:uid="{A802226D-9F74-4FF3-9319-A657B9A93548}" name="3/31/2025" totalsRowFunction="sum" dataDxfId="39" totalsRowDxfId="11">
      <calculatedColumnFormula>_xlfn.LET(
    _xlpm.MONTH_START, DATE(2025, COLUMN(R6)-COLUMN($P6)+1,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7" xr3:uid="{7DCED254-489D-4182-9093-428C0EB15E2D}" name="4/30/2025" totalsRowFunction="sum" dataDxfId="38" totalsRowDxfId="10">
      <calculatedColumnFormula>_xlfn.LET(
    _xlpm.MONTH_START, DATE(2025, COLUMN(S6)-COLUMN($P6)+1,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0" xr3:uid="{5F654754-C8E7-4277-982F-F79BA5906F3C}" name="5/31/2025" totalsRowFunction="sum" dataDxfId="37" totalsRowDxfId="9">
      <calculatedColumnFormula>_xlfn.LET(
    _xlpm.MONTH_START, DATE(2025, COLUMN(T6)-COLUMN($P6)+1,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1" xr3:uid="{7AE91081-60AA-4ED4-B532-FE8DC6086804}" name="6/30/2025" totalsRowFunction="sum" dataDxfId="36" totalsRowDxfId="8">
      <calculatedColumnFormula>_xlfn.LET(
    _xlpm.MONTH_START, DATE(2025, COLUMN(U6)-COLUMN($P6)+1,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2" xr3:uid="{B4D9E1A1-B8AD-4325-B908-A774F6717F6C}" name="7/31/2025" totalsRowFunction="sum" dataDxfId="35" totalsRowDxfId="7">
      <calculatedColumnFormula>_xlfn.LET(
    _xlpm.MONTH_START, DATE(2025, COLUMN(V6)-COLUMN($P6)+1,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33" xr3:uid="{65F0F563-8176-4BD4-AE08-41EA9F9603E3}" name="8/31/2025" totalsRowFunction="sum" dataDxfId="34" totalsRowDxfId="6">
      <calculatedColumnFormula>_xlfn.LET(
    _xlpm.MONTH_START, DATE(2025, COLUMN(W6)-COLUMN($P6)+1,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26" xr3:uid="{650CA3B5-5F1A-45F8-83F5-03EF9A37C4C2}" name="9/30/2025" totalsRowFunction="sum" dataDxfId="33" totalsRowDxfId="5">
      <calculatedColumnFormula>_xlfn.LET(
    _xlpm.MONTH_START, DATE(2025, COLUMN(X6)-COLUMN($P6)+1,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27" xr3:uid="{EEA11404-43DE-4805-9BBB-3EA8D5C4EE67}" name="10/31/2025" totalsRowFunction="sum" dataDxfId="32" totalsRowDxfId="4">
      <calculatedColumnFormula>_xlfn.LET(
    _xlpm.MONTH_START, DATE(2025, COLUMN(Y6)-COLUMN($P6)+1,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28" xr3:uid="{5E480466-4DEB-4D0E-BE67-1746263E479C}" name="11/30/2025" totalsRowFunction="sum" dataDxfId="31" totalsRowDxfId="3">
      <calculatedColumnFormula>_xlfn.LET(
    _xlpm.MONTH_START, DATE(2025, COLUMN(Z6)-COLUMN($P6)+1,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29" xr3:uid="{DEAA065F-053E-4B79-9B54-8306C9392151}" name="12/31/2025" totalsRowFunction="sum" dataDxfId="30" totalsRowDxfId="2">
      <calculatedColumnFormula>_xlfn.LET(
    _xlpm.MONTH_START, DATE(2025, COLUMN(AA6)-COLUMN($P6)+1,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11" xr3:uid="{4EB579DF-51B7-4997-83DD-6E571729EAD8}" name="1/31/2026" totalsRowFunction="sum" dataDxfId="29" totalsRowDxfId="1">
      <calculatedColumnFormula>_xlfn.LET(
    _xlpm.MONTH_START, DATE(2025, COLUMN(AB6)-COLUMN($P6)+1,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calculatedColumnFormula>
    </tableColumn>
    <tableColumn id="10" xr3:uid="{9F8B8CE8-301C-4D62-A0AB-9617E18B0281}" name="Salary_Total" totalsRowFunction="sum" dataDxfId="28" totalsRowDxfId="0">
      <calculatedColumnFormula>SUM(payroll_schedule_tbl[[#This Row],[1/31/2025]:[12/31/2025]])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38E0319-0A95-4802-875E-BC8337D08354}" name="bonus_accrual_forecast_tbl" displayName="bonus_accrual_forecast_tbl" ref="AE5:AR41" totalsRowCount="1" headerRowDxfId="133" dataDxfId="131" totalsRowDxfId="129" headerRowBorderDxfId="132" tableBorderDxfId="130">
  <tableColumns count="14">
    <tableColumn id="1" xr3:uid="{16E187C5-5914-443D-AA14-C921B9D862DD}" name="1/31/2025" totalsRowFunction="sum" dataDxfId="128" totalsRowDxfId="127">
      <calculatedColumnFormula array="1">IFERROR(
_xlfn.XLOOKUP(AE$5,payroll_schedule_tbl[[#Headers],[1/31/2025]:[12/31/2025]],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2" xr3:uid="{AE37FAC4-AFEF-4EEF-94F7-0D1957F2A55E}" name="2/28/2025" totalsRowFunction="sum" dataDxfId="126" totalsRowDxfId="125">
      <calculatedColumnFormula array="1">IFERROR(
_xlfn.XLOOKUP(AF$5,payroll_schedule_tbl[[#Headers],[1/31/2025]:[12/31/2025]],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3" xr3:uid="{1F93BF67-BA29-47AC-8E97-750931AAF468}" name="3/31/2025" totalsRowFunction="sum" dataDxfId="124" totalsRowDxfId="123">
      <calculatedColumnFormula array="1">IFERROR(
_xlfn.XLOOKUP(AG$5,payroll_schedule_tbl[[#Headers],[1/31/2025]:[12/31/2025]],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4" xr3:uid="{8D3783E6-7946-4CEB-ACE5-8A3B6B9E53A9}" name="4/30/2025" totalsRowFunction="sum" dataDxfId="122" totalsRowDxfId="121">
      <calculatedColumnFormula array="1">IFERROR(
_xlfn.XLOOKUP(AH$5,payroll_schedule_tbl[[#Headers],[1/31/2025]:[12/31/2025]],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5" xr3:uid="{2E6F1AE6-083F-447D-8DF4-8E4E4F252479}" name="5/31/2025" totalsRowFunction="sum" dataDxfId="120" totalsRowDxfId="119">
      <calculatedColumnFormula array="1">IFERROR(
_xlfn.XLOOKUP(AI$5,payroll_schedule_tbl[[#Headers],[1/31/2025]:[12/31/2025]],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6" xr3:uid="{D0B990EF-9588-4C1B-8E62-2618F2C8C215}" name="6/30/2025" totalsRowFunction="sum" dataDxfId="118" totalsRowDxfId="117">
      <calculatedColumnFormula array="1">IFERROR(
_xlfn.XLOOKUP(AJ$5,payroll_schedule_tbl[[#Headers],[1/31/2025]:[12/31/2025]],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7" xr3:uid="{06E67AE2-4A60-423C-801B-DBB3386E555D}" name="7/31/2025" totalsRowFunction="sum" dataDxfId="116" totalsRowDxfId="115">
      <calculatedColumnFormula array="1">IFERROR(
_xlfn.XLOOKUP(AK$5,payroll_schedule_tbl[[#Headers],[1/31/2025]:[12/31/2025]],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8" xr3:uid="{A1261CB6-84E2-4D64-B286-D51106D49228}" name="8/31/2025" totalsRowFunction="sum" dataDxfId="114" totalsRowDxfId="113">
      <calculatedColumnFormula array="1">IFERROR(
_xlfn.XLOOKUP(AL$5,payroll_schedule_tbl[[#Headers],[1/31/2025]:[12/31/2025]],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9" xr3:uid="{17731F16-8FF1-4953-A8FE-89A4D50ADB3B}" name="9/30/2025" totalsRowFunction="sum" dataDxfId="112" totalsRowDxfId="111">
      <calculatedColumnFormula array="1">IFERROR(
_xlfn.XLOOKUP(AM$5,payroll_schedule_tbl[[#Headers],[1/31/2025]:[12/31/2025]],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10" xr3:uid="{03A18D55-751C-4946-A7B5-156FDC4241DA}" name="10/31/2025" totalsRowFunction="sum" dataDxfId="110" totalsRowDxfId="109">
      <calculatedColumnFormula array="1">IFERROR(
_xlfn.XLOOKUP(AN$5,payroll_schedule_tbl[[#Headers],[1/31/2025]:[12/31/2025]],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11" xr3:uid="{605C0223-DF20-4A0D-9984-8F1861841D80}" name="11/30/2025" totalsRowFunction="sum" dataDxfId="108" totalsRowDxfId="107">
      <calculatedColumnFormula array="1">IFERROR(
_xlfn.XLOOKUP(AO$5,payroll_schedule_tbl[[#Headers],[1/31/2025]:[12/31/2025]],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12" xr3:uid="{F7ED1CFD-128D-4541-A4DD-587ACE65F647}" name="12/31/2025" totalsRowFunction="sum" dataDxfId="106" totalsRowDxfId="105">
      <calculatedColumnFormula array="1">IFERROR(
_xlfn.XLOOKUP(AP$5,payroll_schedule_tbl[[#Headers],[1/31/2025]:[12/31/2025]],
payroll_schedule_tbl[[#This Row],[1/31/2025]:[12/31/2025]])
/ SUM(payroll_schedule_tbl[[#This Row],[1/31/2025]:[12/31/2025]])
* payroll_schedule_tbl[[#This Row],[Pro_Rata_Bonus]], 0)</calculatedColumnFormula>
    </tableColumn>
    <tableColumn id="14" xr3:uid="{78E1A892-5434-485F-B4FF-08097638C1D4}" name="1/31/2026" totalsRowFunction="sum" dataDxfId="104" totalsRowDxfId="103">
      <calculatedColumnFormula array="1">IFERROR(
_xlfn.XLOOKUP(AQ$5,payroll_schedule_tbl[[#Headers],[2/28/2025]:[1/31/2026]],
payroll_schedule_tbl[[#This Row],[2/28/2025]:[1/31/2026]])
/ SUM(payroll_schedule_tbl[[#This Row],[2/28/2025]:[1/31/2026]])
* payroll_schedule_tbl[[#This Row],[Pro_Rata_Bonus]], 0)</calculatedColumnFormula>
    </tableColumn>
    <tableColumn id="13" xr3:uid="{229C8C7C-DBF3-4E0A-A466-D511093CF880}" name="Bonus_Total" totalsRowFunction="sum" dataDxfId="102" totalsRowDxfId="101">
      <calculatedColumnFormula>SUM(bonus_accrual_forecast_tbl[[#This Row],[1/31/2025]:[12/31/2025]])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5024F6-CBC7-4060-8567-986ADF7E693E}" name="AR_aging_tbl" displayName="AR_aging_tbl" ref="B5:H46" totalsRowCount="1" headerRowBorderDxfId="100">
  <autoFilter ref="B5:H45" xr:uid="{DA5024F6-CBC7-4060-8567-986ADF7E693E}"/>
  <tableColumns count="7">
    <tableColumn id="1" xr3:uid="{FAB6156C-2741-4D96-903D-CFDCB5C5A6DA}" name="Customer_ID" totalsRowLabel="Total" dataDxfId="99" totalsRowDxfId="98"/>
    <tableColumn id="2" xr3:uid="{7132FD0C-C426-4040-85E1-930B72370F8F}" name="Customer_Name" dataDxfId="97" totalsRowDxfId="96"/>
    <tableColumn id="5" xr3:uid="{2F735DF2-092F-43E6-A852-8803D6BF4E9E}" name="Invoice" dataDxfId="95" totalsRowDxfId="94"/>
    <tableColumn id="6" xr3:uid="{8563109C-CA76-42D8-80E0-0ADA1A12B96F}" name="Invoice_Date" dataDxfId="93" totalsRowDxfId="92"/>
    <tableColumn id="3" xr3:uid="{58A46B7C-F985-43B2-AD40-E6F4393AE7EE}" name="AR_Aging" totalsRowFunction="sum" dataDxfId="91" totalsRowDxfId="90"/>
    <tableColumn id="4" xr3:uid="{ACDA3515-967E-40A2-8653-6A0244FA4BBE}" name="Terms" dataDxfId="89" totalsRowDxfId="88"/>
    <tableColumn id="7" xr3:uid="{AC0365B5-7A15-489E-9819-0B86B6994661}" name="Receipt_Date" dataDxfId="87">
      <calculatedColumnFormula>AR_aging_tbl[[#This Row],[Invoice_Date]]+AR_aging_tbl[[#This Row],[Terms]]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9BA5F9-D7DD-4EEC-BAD1-E263E30E3676}" name="AP_aging_tbl" displayName="AP_aging_tbl" ref="B5:I12" totalsRowCount="1" headerRowDxfId="86" headerRowBorderDxfId="85">
  <tableColumns count="8">
    <tableColumn id="1" xr3:uid="{59720118-5908-4E7C-A2A7-3BC833832AA7}" name="Vendor_ID" totalsRowLabel="Total" dataDxfId="84" totalsRowDxfId="83"/>
    <tableColumn id="2" xr3:uid="{40339E6B-641A-4653-8399-26DE54610A29}" name="Vendor_Name" dataDxfId="82" totalsRowDxfId="81"/>
    <tableColumn id="5" xr3:uid="{ADD5BE5F-F937-4402-89B8-E465F35481CE}" name="PO_Num" dataDxfId="80" totalsRowDxfId="79"/>
    <tableColumn id="6" xr3:uid="{C1B34C9C-A40E-43F4-B2AC-A7C775806B98}" name="PO_Date" dataDxfId="78" totalsRowDxfId="77"/>
    <tableColumn id="3" xr3:uid="{FB362F68-D72B-4EDF-843F-700F5CDEE6BE}" name="AP_Aging" totalsRowFunction="sum" dataDxfId="76" totalsRowDxfId="75" dataCellStyle="Comma"/>
    <tableColumn id="4" xr3:uid="{55BE4D10-B9E2-4C7B-B93B-AE327EDEBFB2}" name="Terms" dataDxfId="74" totalsRowDxfId="73"/>
    <tableColumn id="8" xr3:uid="{30DEB356-028A-48BB-B54B-4C0853A47502}" name="Delay" dataDxfId="72" totalsRowDxfId="71"/>
    <tableColumn id="7" xr3:uid="{576243E3-9233-4754-B1E1-4AF596BA4D6A}" name="Pay_Date" dataDxfId="70">
      <calculatedColumnFormula>AP_aging_tbl[[#This Row],[PO_Date]]+AP_aging_tbl[[#This Row],[Terms]]+AP_aging_tbl[[#This Row],[Delay]]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ctrlProp" Target="../ctrlProps/ctrlProp12.xml"/><Relationship Id="rId18" Type="http://schemas.openxmlformats.org/officeDocument/2006/relationships/ctrlProp" Target="../ctrlProps/ctrlProp17.xml"/><Relationship Id="rId26" Type="http://schemas.openxmlformats.org/officeDocument/2006/relationships/ctrlProp" Target="../ctrlProps/ctrlProp25.xml"/><Relationship Id="rId39" Type="http://schemas.openxmlformats.org/officeDocument/2006/relationships/ctrlProp" Target="../ctrlProps/ctrlProp38.xml"/><Relationship Id="rId21" Type="http://schemas.openxmlformats.org/officeDocument/2006/relationships/ctrlProp" Target="../ctrlProps/ctrlProp20.xml"/><Relationship Id="rId34" Type="http://schemas.openxmlformats.org/officeDocument/2006/relationships/ctrlProp" Target="../ctrlProps/ctrlProp33.xml"/><Relationship Id="rId42" Type="http://schemas.openxmlformats.org/officeDocument/2006/relationships/ctrlProp" Target="../ctrlProps/ctrlProp41.xml"/><Relationship Id="rId7" Type="http://schemas.openxmlformats.org/officeDocument/2006/relationships/ctrlProp" Target="../ctrlProps/ctrlProp6.xml"/><Relationship Id="rId2" Type="http://schemas.openxmlformats.org/officeDocument/2006/relationships/drawing" Target="../drawings/drawing3.xml"/><Relationship Id="rId16" Type="http://schemas.openxmlformats.org/officeDocument/2006/relationships/ctrlProp" Target="../ctrlProps/ctrlProp15.xml"/><Relationship Id="rId20" Type="http://schemas.openxmlformats.org/officeDocument/2006/relationships/ctrlProp" Target="../ctrlProps/ctrlProp19.xml"/><Relationship Id="rId29" Type="http://schemas.openxmlformats.org/officeDocument/2006/relationships/ctrlProp" Target="../ctrlProps/ctrlProp28.xml"/><Relationship Id="rId41" Type="http://schemas.openxmlformats.org/officeDocument/2006/relationships/ctrlProp" Target="../ctrlProps/ctrlProp40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5.xml"/><Relationship Id="rId11" Type="http://schemas.openxmlformats.org/officeDocument/2006/relationships/ctrlProp" Target="../ctrlProps/ctrlProp10.xml"/><Relationship Id="rId24" Type="http://schemas.openxmlformats.org/officeDocument/2006/relationships/ctrlProp" Target="../ctrlProps/ctrlProp23.xml"/><Relationship Id="rId32" Type="http://schemas.openxmlformats.org/officeDocument/2006/relationships/ctrlProp" Target="../ctrlProps/ctrlProp31.xml"/><Relationship Id="rId37" Type="http://schemas.openxmlformats.org/officeDocument/2006/relationships/ctrlProp" Target="../ctrlProps/ctrlProp36.xml"/><Relationship Id="rId40" Type="http://schemas.openxmlformats.org/officeDocument/2006/relationships/ctrlProp" Target="../ctrlProps/ctrlProp39.xml"/><Relationship Id="rId5" Type="http://schemas.openxmlformats.org/officeDocument/2006/relationships/ctrlProp" Target="../ctrlProps/ctrlProp4.xml"/><Relationship Id="rId15" Type="http://schemas.openxmlformats.org/officeDocument/2006/relationships/ctrlProp" Target="../ctrlProps/ctrlProp14.xml"/><Relationship Id="rId23" Type="http://schemas.openxmlformats.org/officeDocument/2006/relationships/ctrlProp" Target="../ctrlProps/ctrlProp22.xml"/><Relationship Id="rId28" Type="http://schemas.openxmlformats.org/officeDocument/2006/relationships/ctrlProp" Target="../ctrlProps/ctrlProp27.xml"/><Relationship Id="rId36" Type="http://schemas.openxmlformats.org/officeDocument/2006/relationships/ctrlProp" Target="../ctrlProps/ctrlProp35.xml"/><Relationship Id="rId10" Type="http://schemas.openxmlformats.org/officeDocument/2006/relationships/ctrlProp" Target="../ctrlProps/ctrlProp9.xml"/><Relationship Id="rId19" Type="http://schemas.openxmlformats.org/officeDocument/2006/relationships/ctrlProp" Target="../ctrlProps/ctrlProp18.xml"/><Relationship Id="rId31" Type="http://schemas.openxmlformats.org/officeDocument/2006/relationships/ctrlProp" Target="../ctrlProps/ctrlProp30.xml"/><Relationship Id="rId4" Type="http://schemas.openxmlformats.org/officeDocument/2006/relationships/ctrlProp" Target="../ctrlProps/ctrlProp3.xml"/><Relationship Id="rId9" Type="http://schemas.openxmlformats.org/officeDocument/2006/relationships/ctrlProp" Target="../ctrlProps/ctrlProp8.xml"/><Relationship Id="rId14" Type="http://schemas.openxmlformats.org/officeDocument/2006/relationships/ctrlProp" Target="../ctrlProps/ctrlProp13.xml"/><Relationship Id="rId22" Type="http://schemas.openxmlformats.org/officeDocument/2006/relationships/ctrlProp" Target="../ctrlProps/ctrlProp21.xml"/><Relationship Id="rId27" Type="http://schemas.openxmlformats.org/officeDocument/2006/relationships/ctrlProp" Target="../ctrlProps/ctrlProp26.xml"/><Relationship Id="rId30" Type="http://schemas.openxmlformats.org/officeDocument/2006/relationships/ctrlProp" Target="../ctrlProps/ctrlProp29.xml"/><Relationship Id="rId35" Type="http://schemas.openxmlformats.org/officeDocument/2006/relationships/ctrlProp" Target="../ctrlProps/ctrlProp34.xml"/><Relationship Id="rId8" Type="http://schemas.openxmlformats.org/officeDocument/2006/relationships/ctrlProp" Target="../ctrlProps/ctrlProp7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1.xml"/><Relationship Id="rId17" Type="http://schemas.openxmlformats.org/officeDocument/2006/relationships/ctrlProp" Target="../ctrlProps/ctrlProp16.xml"/><Relationship Id="rId25" Type="http://schemas.openxmlformats.org/officeDocument/2006/relationships/ctrlProp" Target="../ctrlProps/ctrlProp24.xml"/><Relationship Id="rId33" Type="http://schemas.openxmlformats.org/officeDocument/2006/relationships/ctrlProp" Target="../ctrlProps/ctrlProp32.xml"/><Relationship Id="rId38" Type="http://schemas.openxmlformats.org/officeDocument/2006/relationships/ctrlProp" Target="../ctrlProps/ctrlProp3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DA48-60EA-40AC-A8C8-D42D99F1F490}">
  <sheetPr codeName="Sheet2">
    <tabColor theme="5" tint="0.39997558519241921"/>
  </sheetPr>
  <dimension ref="B1:O107"/>
  <sheetViews>
    <sheetView showGridLines="0" tabSelected="1" zoomScale="80" zoomScaleNormal="80" workbookViewId="0">
      <selection activeCell="C6" sqref="C6:C8"/>
    </sheetView>
  </sheetViews>
  <sheetFormatPr defaultRowHeight="15" x14ac:dyDescent="0.25"/>
  <cols>
    <col min="1" max="1" width="1.7109375" customWidth="1"/>
    <col min="2" max="2" width="25.28515625" customWidth="1"/>
    <col min="3" max="3" width="24.42578125" customWidth="1"/>
    <col min="4" max="4" width="13.7109375" style="56" bestFit="1" customWidth="1"/>
    <col min="5" max="15" width="13.7109375" bestFit="1" customWidth="1"/>
  </cols>
  <sheetData>
    <row r="1" spans="2:8" ht="18.75" x14ac:dyDescent="0.3">
      <c r="B1" s="17" t="str" cm="1">
        <f t="array" ref="B1">Company_Name</f>
        <v>Pinnacle Supplier DBA Candy Confection</v>
      </c>
    </row>
    <row r="2" spans="2:8" x14ac:dyDescent="0.25">
      <c r="B2" s="258" t="s">
        <v>424</v>
      </c>
    </row>
    <row r="4" spans="2:8" x14ac:dyDescent="0.25">
      <c r="B4" s="4" t="s">
        <v>27</v>
      </c>
      <c r="C4" s="295" t="s">
        <v>439</v>
      </c>
      <c r="E4" s="314" t="s">
        <v>416</v>
      </c>
      <c r="F4" s="319"/>
      <c r="G4" s="319"/>
      <c r="H4" s="319"/>
    </row>
    <row r="5" spans="2:8" x14ac:dyDescent="0.25">
      <c r="B5" s="4"/>
      <c r="C5" s="4"/>
      <c r="E5" s="316" t="s">
        <v>145</v>
      </c>
      <c r="F5" s="316" t="s">
        <v>421</v>
      </c>
      <c r="G5" s="316" t="s">
        <v>422</v>
      </c>
      <c r="H5" s="316" t="s">
        <v>423</v>
      </c>
    </row>
    <row r="6" spans="2:8" x14ac:dyDescent="0.25">
      <c r="B6" s="4" t="s">
        <v>28</v>
      </c>
      <c r="C6" s="338" t="str">
        <f>"All figures in "&amp;C10&amp;"s of USD (unless otherwise noted)"</f>
        <v>All figures in 1000s of USD (unless otherwise noted)</v>
      </c>
    </row>
    <row r="7" spans="2:8" x14ac:dyDescent="0.25">
      <c r="B7" s="4"/>
      <c r="C7" s="338"/>
      <c r="D7" s="5" t="s">
        <v>429</v>
      </c>
      <c r="E7" s="324" t="b">
        <f>CHOOSE($J$25,F7,G7,H7)</f>
        <v>1</v>
      </c>
      <c r="F7" s="296" t="b">
        <v>0</v>
      </c>
      <c r="G7" s="296" t="b">
        <v>1</v>
      </c>
      <c r="H7" s="296" t="b">
        <v>1</v>
      </c>
    </row>
    <row r="8" spans="2:8" x14ac:dyDescent="0.25">
      <c r="B8" s="4"/>
      <c r="C8" s="338"/>
    </row>
    <row r="9" spans="2:8" x14ac:dyDescent="0.25">
      <c r="B9" s="4"/>
      <c r="C9" s="4"/>
      <c r="D9" s="5" t="s">
        <v>430</v>
      </c>
      <c r="E9" s="324" t="b">
        <f>CHOOSE($J$25,F9,G9,H9)</f>
        <v>1</v>
      </c>
      <c r="F9" s="296" t="b">
        <v>0</v>
      </c>
      <c r="G9" s="296" t="b">
        <v>1</v>
      </c>
      <c r="H9" s="296" t="b">
        <v>1</v>
      </c>
    </row>
    <row r="10" spans="2:8" x14ac:dyDescent="0.25">
      <c r="B10" s="4" t="s">
        <v>62</v>
      </c>
      <c r="C10" s="295">
        <v>1000</v>
      </c>
    </row>
    <row r="11" spans="2:8" x14ac:dyDescent="0.25">
      <c r="B11" s="4"/>
      <c r="C11" s="5"/>
      <c r="D11" s="5" t="s">
        <v>432</v>
      </c>
    </row>
    <row r="12" spans="2:8" x14ac:dyDescent="0.25">
      <c r="B12" s="4" t="s">
        <v>33</v>
      </c>
      <c r="C12" s="296">
        <v>0.34</v>
      </c>
      <c r="D12" s="5" t="s">
        <v>431</v>
      </c>
      <c r="E12" s="324" t="b">
        <f>CHOOSE($J$25,F12,G12,H12)</f>
        <v>1</v>
      </c>
      <c r="F12" s="296" t="b">
        <v>0</v>
      </c>
      <c r="G12" s="296" t="b">
        <v>1</v>
      </c>
      <c r="H12" s="296" t="b">
        <v>1</v>
      </c>
    </row>
    <row r="13" spans="2:8" x14ac:dyDescent="0.25">
      <c r="B13" s="4"/>
      <c r="C13" s="5"/>
      <c r="D13" s="5" t="s">
        <v>433</v>
      </c>
      <c r="E13" s="324" t="b">
        <f>CHOOSE($J$25,F13,G13,H13)</f>
        <v>1</v>
      </c>
      <c r="F13" s="296" t="b">
        <v>0</v>
      </c>
      <c r="G13" s="296" t="b">
        <v>1</v>
      </c>
      <c r="H13" s="296" t="b">
        <v>1</v>
      </c>
    </row>
    <row r="14" spans="2:8" x14ac:dyDescent="0.25">
      <c r="B14" s="4" t="s">
        <v>435</v>
      </c>
      <c r="C14" s="327">
        <f>Capex!U16+Capex!U28+Capex!U40</f>
        <v>1185000</v>
      </c>
      <c r="D14" s="5" t="s">
        <v>434</v>
      </c>
      <c r="E14" s="324" t="b">
        <f>CHOOSE($J$25,F14,G14,H14)</f>
        <v>1</v>
      </c>
      <c r="F14" s="296" t="b">
        <v>0</v>
      </c>
      <c r="G14" s="296" t="b">
        <v>1</v>
      </c>
      <c r="H14" s="296" t="b">
        <v>1</v>
      </c>
    </row>
    <row r="15" spans="2:8" x14ac:dyDescent="0.25">
      <c r="B15" s="4"/>
      <c r="C15" s="5"/>
    </row>
    <row r="16" spans="2:8" x14ac:dyDescent="0.25">
      <c r="B16" s="4" t="s">
        <v>71</v>
      </c>
      <c r="C16" s="324">
        <f>E16</f>
        <v>0.03</v>
      </c>
      <c r="E16" s="324">
        <f>CHOOSE($J$25,F16,G16,H16)</f>
        <v>0.03</v>
      </c>
      <c r="F16" s="296">
        <v>0.04</v>
      </c>
      <c r="G16" s="296">
        <v>0.03</v>
      </c>
      <c r="H16" s="296">
        <v>0.02</v>
      </c>
    </row>
    <row r="17" spans="2:10" x14ac:dyDescent="0.25">
      <c r="B17" s="4"/>
    </row>
    <row r="18" spans="2:10" x14ac:dyDescent="0.25">
      <c r="B18" s="4" t="s">
        <v>373</v>
      </c>
      <c r="C18" s="324">
        <f>E18</f>
        <v>0.01</v>
      </c>
      <c r="E18" s="324">
        <f>CHOOSE($J$25,F18,G18,H18)</f>
        <v>0.01</v>
      </c>
      <c r="F18" s="296">
        <v>0.01</v>
      </c>
      <c r="G18" s="296">
        <v>0.01</v>
      </c>
      <c r="H18" s="296">
        <v>0.01</v>
      </c>
    </row>
    <row r="19" spans="2:10" x14ac:dyDescent="0.25">
      <c r="B19" s="4" t="s">
        <v>140</v>
      </c>
      <c r="C19" s="324">
        <f>E19</f>
        <v>0.15</v>
      </c>
      <c r="E19" s="324">
        <f>CHOOSE($J$25,F19,G19,H19)</f>
        <v>0.15</v>
      </c>
      <c r="F19" s="296">
        <v>0.1</v>
      </c>
      <c r="G19" s="296">
        <v>0.15</v>
      </c>
      <c r="H19" s="296">
        <v>0.18</v>
      </c>
    </row>
    <row r="20" spans="2:10" x14ac:dyDescent="0.25">
      <c r="B20" s="4" t="s">
        <v>117</v>
      </c>
      <c r="C20" s="295">
        <v>12</v>
      </c>
    </row>
    <row r="21" spans="2:10" x14ac:dyDescent="0.25">
      <c r="B21" s="4"/>
      <c r="C21" s="5"/>
      <c r="E21" s="56"/>
      <c r="F21" s="58"/>
      <c r="G21" s="56"/>
      <c r="H21" s="56"/>
    </row>
    <row r="22" spans="2:10" x14ac:dyDescent="0.25">
      <c r="B22" s="4" t="s">
        <v>309</v>
      </c>
      <c r="C22" s="324">
        <f>E22</f>
        <v>0.75</v>
      </c>
      <c r="E22" s="324">
        <f>CHOOSE($J$25,F22,G22,H22)</f>
        <v>0.75</v>
      </c>
      <c r="F22" s="296">
        <v>0.85</v>
      </c>
      <c r="G22" s="296">
        <v>0.75</v>
      </c>
      <c r="H22" s="296">
        <v>0.75</v>
      </c>
    </row>
    <row r="23" spans="2:10" x14ac:dyDescent="0.25">
      <c r="B23" s="4"/>
      <c r="C23" s="5"/>
      <c r="E23" s="56"/>
      <c r="F23" s="56"/>
      <c r="G23" s="56"/>
      <c r="H23" s="56"/>
    </row>
    <row r="24" spans="2:10" x14ac:dyDescent="0.25">
      <c r="B24" s="4" t="s">
        <v>381</v>
      </c>
      <c r="C24" s="324">
        <f>E24</f>
        <v>0.1</v>
      </c>
      <c r="E24" s="324">
        <f>CHOOSE($J$25,F24,G24,H24)</f>
        <v>0.1</v>
      </c>
      <c r="F24" s="296">
        <v>0.05</v>
      </c>
      <c r="G24" s="296">
        <v>0.1</v>
      </c>
      <c r="H24" s="296">
        <v>0.15</v>
      </c>
      <c r="J24" s="315" t="s">
        <v>425</v>
      </c>
    </row>
    <row r="25" spans="2:10" x14ac:dyDescent="0.25">
      <c r="B25" s="4"/>
      <c r="C25" s="4"/>
      <c r="J25" s="129">
        <v>2</v>
      </c>
    </row>
    <row r="26" spans="2:10" x14ac:dyDescent="0.25">
      <c r="B26" s="4" t="s">
        <v>417</v>
      </c>
      <c r="C26" s="257">
        <f>E26</f>
        <v>60</v>
      </c>
      <c r="E26" s="257">
        <f>CHOOSE($J$25,F26,G26,H26)</f>
        <v>60</v>
      </c>
      <c r="F26" s="13">
        <v>75</v>
      </c>
      <c r="G26" s="13">
        <v>60</v>
      </c>
      <c r="H26" s="13">
        <v>30</v>
      </c>
      <c r="J26" s="317" t="s">
        <v>421</v>
      </c>
    </row>
    <row r="27" spans="2:10" x14ac:dyDescent="0.25">
      <c r="B27" s="4" t="s">
        <v>418</v>
      </c>
      <c r="C27" s="257">
        <f t="shared" ref="C27:C29" si="0">E27</f>
        <v>37</v>
      </c>
      <c r="E27" s="257">
        <f>CHOOSE($J$25,F27,G27,H27)</f>
        <v>37</v>
      </c>
      <c r="F27" s="13">
        <v>30</v>
      </c>
      <c r="G27" s="13">
        <v>37</v>
      </c>
      <c r="H27" s="13">
        <v>45</v>
      </c>
      <c r="J27" s="317" t="s">
        <v>422</v>
      </c>
    </row>
    <row r="28" spans="2:10" x14ac:dyDescent="0.25">
      <c r="B28" s="4" t="s">
        <v>419</v>
      </c>
      <c r="C28" s="257">
        <f t="shared" si="0"/>
        <v>30</v>
      </c>
      <c r="E28" s="257">
        <f>CHOOSE($J$25,F28,G28,H28)</f>
        <v>30</v>
      </c>
      <c r="F28" s="13">
        <v>30</v>
      </c>
      <c r="G28" s="13">
        <v>30</v>
      </c>
      <c r="H28" s="13">
        <v>30</v>
      </c>
      <c r="J28" s="317" t="s">
        <v>423</v>
      </c>
    </row>
    <row r="29" spans="2:10" x14ac:dyDescent="0.25">
      <c r="B29" s="4" t="s">
        <v>420</v>
      </c>
      <c r="C29" s="257">
        <f t="shared" si="0"/>
        <v>0</v>
      </c>
      <c r="E29" s="257">
        <f>CHOOSE($J$25,F29,G29,H29)</f>
        <v>0</v>
      </c>
      <c r="F29" s="13">
        <v>0</v>
      </c>
      <c r="G29" s="13">
        <v>0</v>
      </c>
      <c r="H29" s="13">
        <v>0</v>
      </c>
      <c r="J29" s="318"/>
    </row>
    <row r="30" spans="2:10" s="24" customFormat="1" x14ac:dyDescent="0.25">
      <c r="C30" s="294"/>
      <c r="D30" s="313"/>
    </row>
    <row r="31" spans="2:10" s="27" customFormat="1" x14ac:dyDescent="0.25">
      <c r="D31" s="326"/>
    </row>
    <row r="32" spans="2:10" x14ac:dyDescent="0.25">
      <c r="B32" s="25"/>
    </row>
    <row r="33" spans="2:4" x14ac:dyDescent="0.25">
      <c r="B33" s="125" t="s">
        <v>288</v>
      </c>
      <c r="C33" s="118" t="s">
        <v>287</v>
      </c>
      <c r="D33" s="125" t="s">
        <v>265</v>
      </c>
    </row>
    <row r="34" spans="2:4" x14ac:dyDescent="0.25">
      <c r="B34" s="4" cm="1">
        <f t="array" ref="B34:B107">_xlfn.SEQUENCE(COUNTA(_xlfn.ANCHORARRAY($C$34)))</f>
        <v>1</v>
      </c>
      <c r="C34" s="25" t="str" cm="1">
        <f t="array" ref="C34:C107">_xlfn.UNIQUE(sales_forecast_tbl[Customer Name])</f>
        <v>Apex Foods Inc.</v>
      </c>
      <c r="D34" s="325" t="b">
        <v>1</v>
      </c>
    </row>
    <row r="35" spans="2:4" x14ac:dyDescent="0.25">
      <c r="B35" s="4">
        <v>2</v>
      </c>
      <c r="C35" s="25" t="str">
        <v>Beacon Confections</v>
      </c>
      <c r="D35" s="325" t="b">
        <v>1</v>
      </c>
    </row>
    <row r="36" spans="2:4" x14ac:dyDescent="0.25">
      <c r="B36" s="4">
        <v>3</v>
      </c>
      <c r="C36" s="25" t="str">
        <v>Summit Gourmet Supply</v>
      </c>
      <c r="D36" s="325" t="b">
        <v>1</v>
      </c>
    </row>
    <row r="37" spans="2:4" x14ac:dyDescent="0.25">
      <c r="B37" s="4">
        <v>4</v>
      </c>
      <c r="C37" s="25" t="str">
        <v>Sterling Fine Foods</v>
      </c>
      <c r="D37" s="325" t="b">
        <v>1</v>
      </c>
    </row>
    <row r="38" spans="2:4" x14ac:dyDescent="0.25">
      <c r="B38" s="4">
        <v>5</v>
      </c>
      <c r="C38" s="25" t="str">
        <v>Cascade Distributors</v>
      </c>
      <c r="D38" s="325" t="b">
        <v>1</v>
      </c>
    </row>
    <row r="39" spans="2:4" x14ac:dyDescent="0.25">
      <c r="B39" s="4">
        <v>6</v>
      </c>
      <c r="C39" s="25" t="str">
        <v>Evergreen Specialty Foods</v>
      </c>
      <c r="D39" s="325" t="b">
        <v>1</v>
      </c>
    </row>
    <row r="40" spans="2:4" x14ac:dyDescent="0.25">
      <c r="B40" s="4">
        <v>7</v>
      </c>
      <c r="C40" s="25" t="str">
        <v>Pinnacle Chocolates LLC</v>
      </c>
      <c r="D40" s="325" t="b">
        <v>1</v>
      </c>
    </row>
    <row r="41" spans="2:4" x14ac:dyDescent="0.25">
      <c r="B41" s="4">
        <v>8</v>
      </c>
      <c r="C41" s="25" t="str">
        <v>Granite Corporate Catering</v>
      </c>
      <c r="D41" s="325" t="b">
        <v>1</v>
      </c>
    </row>
    <row r="42" spans="2:4" x14ac:dyDescent="0.25">
      <c r="B42" s="4">
        <v>9</v>
      </c>
      <c r="C42" s="25" t="str">
        <v>Sequoia Imports</v>
      </c>
      <c r="D42" s="325" t="b">
        <v>1</v>
      </c>
    </row>
    <row r="43" spans="2:4" x14ac:dyDescent="0.25">
      <c r="B43" s="4">
        <v>10</v>
      </c>
      <c r="C43" s="25" t="str">
        <v>Blue Horizon Delicacies</v>
      </c>
      <c r="D43" s="325" t="b">
        <v>1</v>
      </c>
    </row>
    <row r="44" spans="2:4" x14ac:dyDescent="0.25">
      <c r="B44" s="4">
        <v>11</v>
      </c>
      <c r="C44" s="25" t="str">
        <v>Paramount Foodservice</v>
      </c>
      <c r="D44" s="325" t="b">
        <v>1</v>
      </c>
    </row>
    <row r="45" spans="2:4" x14ac:dyDescent="0.25">
      <c r="B45" s="4">
        <v>12</v>
      </c>
      <c r="C45" s="25" t="str">
        <v>Crestline Premium Goods</v>
      </c>
      <c r="D45" s="325" t="b">
        <v>1</v>
      </c>
    </row>
    <row r="46" spans="2:4" x14ac:dyDescent="0.25">
      <c r="B46" s="4">
        <v>13</v>
      </c>
      <c r="C46" s="25" t="str">
        <v>Highland Sweets Distributors</v>
      </c>
      <c r="D46" s="325" t="b">
        <v>1</v>
      </c>
    </row>
    <row r="47" spans="2:4" x14ac:dyDescent="0.25">
      <c r="B47" s="4">
        <v>14</v>
      </c>
      <c r="C47" s="25" t="str">
        <v>Redwood Catering &amp; Events</v>
      </c>
      <c r="D47" s="325" t="b">
        <v>1</v>
      </c>
    </row>
    <row r="48" spans="2:4" x14ac:dyDescent="0.25">
      <c r="B48" s="4">
        <v>15</v>
      </c>
      <c r="C48" s="25" t="str">
        <v>Orion Hospitality Group</v>
      </c>
      <c r="D48" s="325" t="b">
        <v>1</v>
      </c>
    </row>
    <row r="49" spans="2:15" x14ac:dyDescent="0.25">
      <c r="B49" s="4">
        <v>16</v>
      </c>
      <c r="C49" s="25" t="str">
        <v>Vista Corporate Gifts</v>
      </c>
      <c r="D49" s="325" t="b">
        <v>1</v>
      </c>
    </row>
    <row r="50" spans="2:15" x14ac:dyDescent="0.25">
      <c r="B50" s="4">
        <v>17</v>
      </c>
      <c r="C50" s="25" t="str">
        <v>Momentum Catering Solutions</v>
      </c>
      <c r="D50" s="325" t="b">
        <v>1</v>
      </c>
    </row>
    <row r="51" spans="2:15" x14ac:dyDescent="0.25">
      <c r="B51" s="4">
        <v>18</v>
      </c>
      <c r="C51" s="25" t="str">
        <v>Meridian Food Wholesalers</v>
      </c>
      <c r="D51" s="325" t="b">
        <v>1</v>
      </c>
    </row>
    <row r="52" spans="2:15" x14ac:dyDescent="0.25">
      <c r="B52" s="4">
        <v>19</v>
      </c>
      <c r="C52" s="25" t="str">
        <v>Silver Oak Fine Foods</v>
      </c>
      <c r="D52" s="325" t="b">
        <v>1</v>
      </c>
    </row>
    <row r="53" spans="2:15" x14ac:dyDescent="0.25">
      <c r="B53" s="4">
        <v>20</v>
      </c>
      <c r="C53" s="25" t="str">
        <v>Everest Chocolate Group</v>
      </c>
      <c r="D53" s="325" t="b">
        <v>1</v>
      </c>
    </row>
    <row r="54" spans="2:15" x14ac:dyDescent="0.25">
      <c r="B54" s="4">
        <v>21</v>
      </c>
      <c r="C54" s="25" t="str">
        <v>Sunrise Specialty Sweets</v>
      </c>
      <c r="D54" s="325" t="b">
        <v>1</v>
      </c>
    </row>
    <row r="55" spans="2:15" x14ac:dyDescent="0.25">
      <c r="B55" s="4">
        <v>22</v>
      </c>
      <c r="C55" s="25" t="str">
        <v>Platinum Corporate Treats</v>
      </c>
      <c r="D55" s="325" t="b">
        <v>1</v>
      </c>
    </row>
    <row r="56" spans="2:15" x14ac:dyDescent="0.25">
      <c r="B56" s="4">
        <v>23</v>
      </c>
      <c r="C56" s="25" t="str">
        <v>NorthStar Confections</v>
      </c>
      <c r="D56" s="325" t="b">
        <v>1</v>
      </c>
    </row>
    <row r="57" spans="2:15" x14ac:dyDescent="0.25">
      <c r="B57" s="4">
        <v>24</v>
      </c>
      <c r="C57" s="25" t="str">
        <v>Coastal Gourmet Imports</v>
      </c>
      <c r="D57" s="325" t="b">
        <v>1</v>
      </c>
    </row>
    <row r="58" spans="2:15" x14ac:dyDescent="0.25">
      <c r="B58" s="4">
        <v>25</v>
      </c>
      <c r="C58" s="4" t="str">
        <v>Frontier Foodservice</v>
      </c>
      <c r="D58" s="325" t="b">
        <v>1</v>
      </c>
    </row>
    <row r="59" spans="2:15" x14ac:dyDescent="0.25">
      <c r="B59" s="4">
        <v>26</v>
      </c>
      <c r="C59" s="4" t="str">
        <v>Regal Sweets &amp; Snacks</v>
      </c>
      <c r="D59" s="325" t="b">
        <v>1</v>
      </c>
      <c r="G59" s="28"/>
      <c r="H59" s="28"/>
      <c r="I59" s="28"/>
      <c r="J59" s="28"/>
      <c r="K59" s="28"/>
      <c r="L59" s="28"/>
      <c r="M59" s="28"/>
      <c r="N59" s="28"/>
      <c r="O59" s="28"/>
    </row>
    <row r="60" spans="2:15" x14ac:dyDescent="0.25">
      <c r="B60" s="4">
        <v>27</v>
      </c>
      <c r="C60" s="4" t="str">
        <v>Landmark Luxury Goods</v>
      </c>
      <c r="D60" s="325" t="b">
        <v>1</v>
      </c>
    </row>
    <row r="61" spans="2:15" x14ac:dyDescent="0.25">
      <c r="B61" s="4">
        <v>28</v>
      </c>
      <c r="C61" s="4" t="str">
        <v>Nova Gourmet Foods</v>
      </c>
      <c r="D61" s="325" t="b">
        <v>1</v>
      </c>
    </row>
    <row r="62" spans="2:15" x14ac:dyDescent="0.25">
      <c r="B62" s="4">
        <v>29</v>
      </c>
      <c r="C62" s="4" t="str">
        <v>Boulder Chocolate Distributors</v>
      </c>
      <c r="D62" s="325" t="b">
        <v>1</v>
      </c>
    </row>
    <row r="63" spans="2:15" x14ac:dyDescent="0.25">
      <c r="B63" s="4">
        <v>30</v>
      </c>
      <c r="C63" s="4" t="str">
        <v>Heritage Food Group</v>
      </c>
      <c r="D63" s="325" t="b">
        <v>1</v>
      </c>
    </row>
    <row r="64" spans="2:15" x14ac:dyDescent="0.25">
      <c r="B64" s="4">
        <v>31</v>
      </c>
      <c r="C64" s="4" t="str">
        <v>Empire Fine Foods</v>
      </c>
      <c r="D64" s="325" t="b">
        <v>1</v>
      </c>
    </row>
    <row r="65" spans="2:4" x14ac:dyDescent="0.25">
      <c r="B65" s="4">
        <v>32</v>
      </c>
      <c r="C65" s="4" t="str">
        <v>Horizon Corporate Gifting</v>
      </c>
      <c r="D65" s="325" t="b">
        <v>1</v>
      </c>
    </row>
    <row r="66" spans="2:4" x14ac:dyDescent="0.25">
      <c r="B66" s="4">
        <v>33</v>
      </c>
      <c r="C66" s="4" t="str">
        <v>Prestige Catering &amp; Events</v>
      </c>
      <c r="D66" s="325" t="b">
        <v>1</v>
      </c>
    </row>
    <row r="67" spans="2:4" x14ac:dyDescent="0.25">
      <c r="B67" s="4">
        <v>34</v>
      </c>
      <c r="C67" s="4" t="str">
        <v>Velocity Specialty Imports</v>
      </c>
      <c r="D67" s="325" t="b">
        <v>1</v>
      </c>
    </row>
    <row r="68" spans="2:4" x14ac:dyDescent="0.25">
      <c r="B68" s="4">
        <v>35</v>
      </c>
      <c r="C68" s="4" t="str">
        <v>Alpine Wholesale Foods</v>
      </c>
      <c r="D68" s="325" t="b">
        <v>1</v>
      </c>
    </row>
    <row r="69" spans="2:4" x14ac:dyDescent="0.25">
      <c r="B69" s="4">
        <v>36</v>
      </c>
      <c r="C69" s="4" t="str">
        <v>Prime Delicacies</v>
      </c>
      <c r="D69" s="325" t="b">
        <v>1</v>
      </c>
    </row>
    <row r="70" spans="2:4" x14ac:dyDescent="0.25">
      <c r="B70" s="4">
        <v>37</v>
      </c>
      <c r="C70" s="4" t="str">
        <v>Titan Hospitality Supplies</v>
      </c>
      <c r="D70" s="325" t="b">
        <v>1</v>
      </c>
    </row>
    <row r="71" spans="2:4" x14ac:dyDescent="0.25">
      <c r="B71" s="4">
        <v>38</v>
      </c>
      <c r="C71" s="4" t="str">
        <v>NFL Confidential</v>
      </c>
      <c r="D71" s="333" t="b">
        <f>E7</f>
        <v>1</v>
      </c>
    </row>
    <row r="72" spans="2:4" x14ac:dyDescent="0.25">
      <c r="B72" s="4">
        <v>39</v>
      </c>
      <c r="C72" s="4" t="str">
        <v>Sweet Haven Market</v>
      </c>
      <c r="D72" s="325" t="b">
        <v>1</v>
      </c>
    </row>
    <row r="73" spans="2:4" x14ac:dyDescent="0.25">
      <c r="B73" s="4">
        <v>40</v>
      </c>
      <c r="C73" s="4" t="str">
        <v>The Chocolate Loft</v>
      </c>
      <c r="D73" s="325" t="b">
        <v>1</v>
      </c>
    </row>
    <row r="74" spans="2:4" x14ac:dyDescent="0.25">
      <c r="B74" s="4">
        <v>41</v>
      </c>
      <c r="C74" s="4" t="str">
        <v>Bella’s Fine Chocolates</v>
      </c>
      <c r="D74" s="325" t="b">
        <v>1</v>
      </c>
    </row>
    <row r="75" spans="2:4" x14ac:dyDescent="0.25">
      <c r="B75" s="4">
        <v>42</v>
      </c>
      <c r="C75" s="4" t="str">
        <v>Cozy Cocoa Boutique</v>
      </c>
      <c r="D75" s="325" t="b">
        <v>1</v>
      </c>
    </row>
    <row r="76" spans="2:4" x14ac:dyDescent="0.25">
      <c r="B76" s="4">
        <v>43</v>
      </c>
      <c r="C76" s="4" t="str">
        <v>Maple Grove Sweet Shop</v>
      </c>
      <c r="D76" s="325" t="b">
        <v>1</v>
      </c>
    </row>
    <row r="77" spans="2:4" x14ac:dyDescent="0.25">
      <c r="B77" s="4">
        <v>44</v>
      </c>
      <c r="C77" s="4" t="str">
        <v>The Golden Truffle</v>
      </c>
      <c r="D77" s="325" t="b">
        <v>1</v>
      </c>
    </row>
    <row r="78" spans="2:4" x14ac:dyDescent="0.25">
      <c r="B78" s="4">
        <v>45</v>
      </c>
      <c r="C78" s="4" t="str">
        <v>Cocoa Bliss Delights</v>
      </c>
      <c r="D78" s="325" t="b">
        <v>1</v>
      </c>
    </row>
    <row r="79" spans="2:4" x14ac:dyDescent="0.25">
      <c r="B79" s="4">
        <v>46</v>
      </c>
      <c r="C79" s="4" t="str">
        <v>Sugar &amp; Spice Emporium</v>
      </c>
      <c r="D79" s="325" t="b">
        <v>1</v>
      </c>
    </row>
    <row r="80" spans="2:4" x14ac:dyDescent="0.25">
      <c r="B80" s="4">
        <v>47</v>
      </c>
      <c r="C80" s="4" t="str">
        <v>The Velvet Cacao Bar</v>
      </c>
      <c r="D80" s="325" t="b">
        <v>1</v>
      </c>
    </row>
    <row r="81" spans="2:4" x14ac:dyDescent="0.25">
      <c r="B81" s="4">
        <v>48</v>
      </c>
      <c r="C81" s="4" t="str">
        <v>ChocoCharm Patisserie</v>
      </c>
      <c r="D81" s="325" t="b">
        <v>1</v>
      </c>
    </row>
    <row r="82" spans="2:4" x14ac:dyDescent="0.25">
      <c r="B82" s="4">
        <v>49</v>
      </c>
      <c r="C82" s="4" t="str">
        <v>Frosted Delights Café</v>
      </c>
      <c r="D82" s="325" t="b">
        <v>1</v>
      </c>
    </row>
    <row r="83" spans="2:4" x14ac:dyDescent="0.25">
      <c r="B83" s="4">
        <v>50</v>
      </c>
      <c r="C83" s="4" t="str">
        <v>Artisan Sweets &amp; Treats</v>
      </c>
      <c r="D83" s="325" t="b">
        <v>1</v>
      </c>
    </row>
    <row r="84" spans="2:4" x14ac:dyDescent="0.25">
      <c r="B84" s="4">
        <v>51</v>
      </c>
      <c r="C84" s="4" t="str">
        <v>Little Luxuries Candy Shop</v>
      </c>
      <c r="D84" s="325" t="b">
        <v>1</v>
      </c>
    </row>
    <row r="85" spans="2:4" x14ac:dyDescent="0.25">
      <c r="B85" s="4">
        <v>52</v>
      </c>
      <c r="C85" s="4" t="str">
        <v>Midnight Cocoa Bar</v>
      </c>
      <c r="D85" s="325" t="b">
        <v>1</v>
      </c>
    </row>
    <row r="86" spans="2:4" x14ac:dyDescent="0.25">
      <c r="B86" s="4">
        <v>53</v>
      </c>
      <c r="C86" s="4" t="str">
        <v>Luxe Bites Chocolaterie</v>
      </c>
      <c r="D86" s="325" t="b">
        <v>1</v>
      </c>
    </row>
    <row r="87" spans="2:4" x14ac:dyDescent="0.25">
      <c r="B87" s="4">
        <v>54</v>
      </c>
      <c r="C87" s="4" t="str">
        <v>The Cocoa Nook</v>
      </c>
      <c r="D87" s="325" t="b">
        <v>1</v>
      </c>
    </row>
    <row r="88" spans="2:4" x14ac:dyDescent="0.25">
      <c r="B88" s="4">
        <v>55</v>
      </c>
      <c r="C88" s="4" t="str">
        <v>Heavenly Chocolate Co.</v>
      </c>
      <c r="D88" s="325" t="b">
        <v>1</v>
      </c>
    </row>
    <row r="89" spans="2:4" x14ac:dyDescent="0.25">
      <c r="B89" s="4">
        <v>56</v>
      </c>
      <c r="C89" s="4" t="str">
        <v>Moonlit Truffles</v>
      </c>
      <c r="D89" s="325" t="b">
        <v>1</v>
      </c>
    </row>
    <row r="90" spans="2:4" x14ac:dyDescent="0.25">
      <c r="B90" s="4">
        <v>57</v>
      </c>
      <c r="C90" s="4" t="str">
        <v>The Cocoa Cabin</v>
      </c>
      <c r="D90" s="325" t="b">
        <v>1</v>
      </c>
    </row>
    <row r="91" spans="2:4" x14ac:dyDescent="0.25">
      <c r="B91" s="4">
        <v>58</v>
      </c>
      <c r="C91" s="4" t="str">
        <v>The Sweet Spot Confections</v>
      </c>
      <c r="D91" s="325" t="b">
        <v>1</v>
      </c>
    </row>
    <row r="92" spans="2:4" x14ac:dyDescent="0.25">
      <c r="B92" s="4">
        <v>59</v>
      </c>
      <c r="C92" s="4" t="str">
        <v>Pure Indulgence Chocolates</v>
      </c>
      <c r="D92" s="325" t="b">
        <v>1</v>
      </c>
    </row>
    <row r="93" spans="2:4" x14ac:dyDescent="0.25">
      <c r="B93" s="4">
        <v>60</v>
      </c>
      <c r="C93" s="4" t="str">
        <v>Delish Chocolate Boutique</v>
      </c>
      <c r="D93" s="325" t="b">
        <v>1</v>
      </c>
    </row>
    <row r="94" spans="2:4" x14ac:dyDescent="0.25">
      <c r="B94" s="4">
        <v>61</v>
      </c>
      <c r="C94" s="4" t="str">
        <v>The Gourmet Ganache Shop</v>
      </c>
      <c r="D94" s="325" t="b">
        <v>1</v>
      </c>
    </row>
    <row r="95" spans="2:4" x14ac:dyDescent="0.25">
      <c r="B95" s="4">
        <v>62</v>
      </c>
      <c r="C95" s="4" t="str">
        <v>Heritage Cocoa Creations</v>
      </c>
      <c r="D95" s="325" t="b">
        <v>1</v>
      </c>
    </row>
    <row r="96" spans="2:4" x14ac:dyDescent="0.25">
      <c r="B96" s="4">
        <v>63</v>
      </c>
      <c r="C96" s="4" t="str">
        <v>Brown Sugar &amp; Bliss</v>
      </c>
      <c r="D96" s="325" t="b">
        <v>1</v>
      </c>
    </row>
    <row r="97" spans="2:4" x14ac:dyDescent="0.25">
      <c r="B97" s="4">
        <v>64</v>
      </c>
      <c r="C97" s="4" t="str">
        <v>Gilded Cacao House</v>
      </c>
      <c r="D97" s="325" t="b">
        <v>1</v>
      </c>
    </row>
    <row r="98" spans="2:4" x14ac:dyDescent="0.25">
      <c r="B98" s="4">
        <v>65</v>
      </c>
      <c r="C98" s="4" t="str">
        <v>Sugar Rush Specialty Shop</v>
      </c>
      <c r="D98" s="325" t="b">
        <v>1</v>
      </c>
    </row>
    <row r="99" spans="2:4" x14ac:dyDescent="0.25">
      <c r="B99" s="4">
        <v>66</v>
      </c>
      <c r="C99" s="4" t="str">
        <v>Indulge Artisan Sweets</v>
      </c>
      <c r="D99" s="325" t="b">
        <v>1</v>
      </c>
    </row>
    <row r="100" spans="2:4" x14ac:dyDescent="0.25">
      <c r="B100" s="4">
        <v>67</v>
      </c>
      <c r="C100" s="4" t="str">
        <v>The Chocolate Emporium</v>
      </c>
      <c r="D100" s="325" t="b">
        <v>1</v>
      </c>
    </row>
    <row r="101" spans="2:4" x14ac:dyDescent="0.25">
      <c r="B101" s="4">
        <v>68</v>
      </c>
      <c r="C101" s="4" t="str">
        <v>Truffle Temptations</v>
      </c>
      <c r="D101" s="325" t="b">
        <v>1</v>
      </c>
    </row>
    <row r="102" spans="2:4" x14ac:dyDescent="0.25">
      <c r="B102" s="4">
        <v>69</v>
      </c>
      <c r="C102" s="4" t="str">
        <v>Urban Cocoa Collective</v>
      </c>
      <c r="D102" s="325" t="b">
        <v>1</v>
      </c>
    </row>
    <row r="103" spans="2:4" x14ac:dyDescent="0.25">
      <c r="B103" s="4">
        <v>70</v>
      </c>
      <c r="C103" s="4" t="str">
        <v>Meltaway Chocolate Haven</v>
      </c>
      <c r="D103" s="325" t="b">
        <v>1</v>
      </c>
    </row>
    <row r="104" spans="2:4" x14ac:dyDescent="0.25">
      <c r="B104" s="4">
        <v>71</v>
      </c>
      <c r="C104" s="4" t="str">
        <v>Whimsical Sweets &amp; Treats</v>
      </c>
      <c r="D104" s="325" t="b">
        <v>1</v>
      </c>
    </row>
    <row r="105" spans="2:4" x14ac:dyDescent="0.25">
      <c r="B105" s="4">
        <v>72</v>
      </c>
      <c r="C105" s="4" t="str">
        <v>Old Town Chocolate Works</v>
      </c>
      <c r="D105" s="325" t="b">
        <v>1</v>
      </c>
    </row>
    <row r="106" spans="2:4" x14ac:dyDescent="0.25">
      <c r="B106" s="4">
        <v>73</v>
      </c>
      <c r="C106" s="4" t="str">
        <v>Divine Cocoa Creations</v>
      </c>
      <c r="D106" s="325" t="b">
        <v>1</v>
      </c>
    </row>
    <row r="107" spans="2:4" x14ac:dyDescent="0.25">
      <c r="B107" s="4">
        <v>74</v>
      </c>
      <c r="C107" s="4" t="str">
        <v>MyBarringtonChocolate.com</v>
      </c>
      <c r="D107" s="325" t="b">
        <v>1</v>
      </c>
    </row>
  </sheetData>
  <mergeCells count="1">
    <mergeCell ref="C6:C8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99" r:id="rId3" name="Drop Down 51">
              <controlPr defaultSize="0" autoLine="0" autoPict="0">
                <anchor moveWithCells="1">
                  <from>
                    <xdr:col>4</xdr:col>
                    <xdr:colOff>19050</xdr:colOff>
                    <xdr:row>3</xdr:row>
                    <xdr:rowOff>9525</xdr:rowOff>
                  </from>
                  <to>
                    <xdr:col>4</xdr:col>
                    <xdr:colOff>1038225</xdr:colOff>
                    <xdr:row>3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76B6-8D2A-4813-B858-6BBBE53BDC22}">
  <sheetPr codeName="Sheet3">
    <tabColor theme="9" tint="0.39997558519241921"/>
  </sheetPr>
  <dimension ref="A1:Y49"/>
  <sheetViews>
    <sheetView showGridLines="0" zoomScale="75" zoomScaleNormal="75" workbookViewId="0">
      <pane xSplit="8" ySplit="8" topLeftCell="I9" activePane="bottomRight" state="frozen"/>
      <selection pane="topRight" activeCell="I1" sqref="I1"/>
      <selection pane="bottomLeft" activeCell="A10" sqref="A10"/>
      <selection pane="bottomRight" activeCell="A23" sqref="A23"/>
    </sheetView>
  </sheetViews>
  <sheetFormatPr defaultColWidth="9.140625" defaultRowHeight="14.25" customHeight="1" outlineLevelCol="1" x14ac:dyDescent="0.2"/>
  <cols>
    <col min="1" max="1" width="1.42578125" style="4" customWidth="1"/>
    <col min="2" max="2" width="39.5703125" style="4" customWidth="1"/>
    <col min="3" max="3" width="1.42578125" style="4" customWidth="1" outlineLevel="1"/>
    <col min="4" max="4" width="12.28515625" style="4" customWidth="1" outlineLevel="1"/>
    <col min="5" max="5" width="1.42578125" style="4" customWidth="1" outlineLevel="1"/>
    <col min="6" max="9" width="9.28515625" style="281" customWidth="1" outlineLevel="1"/>
    <col min="10" max="10" width="9.28515625" style="281" customWidth="1"/>
    <col min="11" max="22" width="9.28515625" style="4" customWidth="1"/>
    <col min="23" max="23" width="1.140625" style="4" customWidth="1"/>
    <col min="24" max="24" width="10.140625" style="4" customWidth="1"/>
    <col min="25" max="25" width="9.42578125" style="4" bestFit="1" customWidth="1"/>
    <col min="26" max="16384" width="9.140625" style="4"/>
  </cols>
  <sheetData>
    <row r="1" spans="1:25" ht="18" customHeight="1" x14ac:dyDescent="0.3">
      <c r="B1" s="17" t="str" cm="1">
        <f t="array" ref="B1">Company_Name</f>
        <v>Pinnacle Supplier DBA Candy Confection</v>
      </c>
    </row>
    <row r="2" spans="1:25" ht="18" customHeight="1" x14ac:dyDescent="0.25">
      <c r="B2" s="115" t="s">
        <v>426</v>
      </c>
    </row>
    <row r="3" spans="1:25" ht="18" customHeight="1" x14ac:dyDescent="0.2">
      <c r="B3" s="4" t="str">
        <f>Currency_Disclaimer</f>
        <v>All figures in 1000s of USD (unless otherwise noted)</v>
      </c>
      <c r="I3" s="135"/>
      <c r="X3" s="337"/>
    </row>
    <row r="4" spans="1:25" s="57" customFormat="1" ht="17.649999999999999" customHeight="1" x14ac:dyDescent="0.25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</row>
    <row r="5" spans="1:25" s="1" customFormat="1" ht="0.75" hidden="1" customHeight="1" x14ac:dyDescent="0.2">
      <c r="F5" s="291" cm="1">
        <f t="array" ref="F5:W5">_xlfn.SEQUENCE(1,COUNT(7:7),-COUNTIF($8:$8,"Act"),1)</f>
        <v>-3</v>
      </c>
      <c r="G5" s="291">
        <v>-2</v>
      </c>
      <c r="H5" s="291">
        <v>-1</v>
      </c>
      <c r="I5" s="291">
        <v>0</v>
      </c>
      <c r="J5" s="291">
        <v>1</v>
      </c>
      <c r="K5" s="2">
        <v>2</v>
      </c>
      <c r="L5" s="2">
        <v>3</v>
      </c>
      <c r="M5" s="2">
        <v>4</v>
      </c>
      <c r="N5" s="2">
        <v>5</v>
      </c>
      <c r="O5" s="2">
        <v>6</v>
      </c>
      <c r="P5" s="2">
        <v>7</v>
      </c>
      <c r="Q5" s="2">
        <v>8</v>
      </c>
      <c r="R5" s="2">
        <v>9</v>
      </c>
      <c r="S5" s="2">
        <v>10</v>
      </c>
      <c r="T5" s="2">
        <v>11</v>
      </c>
      <c r="U5" s="2">
        <v>12</v>
      </c>
      <c r="V5" s="2">
        <v>13</v>
      </c>
      <c r="W5" s="1">
        <v>14</v>
      </c>
    </row>
    <row r="6" spans="1:25" s="1" customFormat="1" ht="14.25" customHeight="1" x14ac:dyDescent="0.2">
      <c r="A6" s="31"/>
      <c r="B6" s="31" t="s">
        <v>9</v>
      </c>
      <c r="C6" s="31"/>
      <c r="D6" s="31"/>
      <c r="E6" s="31"/>
      <c r="F6" s="283">
        <v>-3</v>
      </c>
      <c r="G6" s="283">
        <v>-2</v>
      </c>
      <c r="H6" s="283">
        <v>-1</v>
      </c>
      <c r="I6" s="283">
        <v>0</v>
      </c>
      <c r="J6" s="32">
        <f t="shared" ref="J6:T6" si="0">I6+1</f>
        <v>1</v>
      </c>
      <c r="K6" s="32">
        <f t="shared" si="0"/>
        <v>2</v>
      </c>
      <c r="L6" s="32">
        <f t="shared" si="0"/>
        <v>3</v>
      </c>
      <c r="M6" s="32">
        <f t="shared" si="0"/>
        <v>4</v>
      </c>
      <c r="N6" s="32">
        <f t="shared" si="0"/>
        <v>5</v>
      </c>
      <c r="O6" s="32">
        <f t="shared" si="0"/>
        <v>6</v>
      </c>
      <c r="P6" s="32">
        <f t="shared" si="0"/>
        <v>7</v>
      </c>
      <c r="Q6" s="32">
        <f t="shared" si="0"/>
        <v>8</v>
      </c>
      <c r="R6" s="32">
        <f t="shared" si="0"/>
        <v>9</v>
      </c>
      <c r="S6" s="32">
        <f t="shared" si="0"/>
        <v>10</v>
      </c>
      <c r="T6" s="32">
        <f t="shared" si="0"/>
        <v>11</v>
      </c>
      <c r="U6" s="32">
        <f>T6+1</f>
        <v>12</v>
      </c>
      <c r="V6" s="32">
        <f>U6+1</f>
        <v>13</v>
      </c>
      <c r="W6" s="31"/>
      <c r="X6" s="205" t="str">
        <f>(DAYS360(X7,X8)/30)+1&amp;"-mos"</f>
        <v>13-mos</v>
      </c>
      <c r="Y6" s="254"/>
    </row>
    <row r="7" spans="1:25" s="1" customFormat="1" ht="14.25" customHeight="1" x14ac:dyDescent="0.2">
      <c r="A7" s="31"/>
      <c r="B7" s="31" t="s">
        <v>11</v>
      </c>
      <c r="C7" s="31"/>
      <c r="D7" s="31"/>
      <c r="E7" s="31"/>
      <c r="F7" s="284">
        <v>45565</v>
      </c>
      <c r="G7" s="284">
        <v>45596</v>
      </c>
      <c r="H7" s="284">
        <v>45626</v>
      </c>
      <c r="I7" s="284">
        <v>45657</v>
      </c>
      <c r="J7" s="284">
        <f>EOMONTH($I$7,COLUMNS($I7:J7)-1)</f>
        <v>45688</v>
      </c>
      <c r="K7" s="33">
        <f>EOMONTH($I$7,COLUMNS($I7:K7)-1)</f>
        <v>45716</v>
      </c>
      <c r="L7" s="33">
        <f>EOMONTH($I$7,COLUMNS($I7:L7)-1)</f>
        <v>45747</v>
      </c>
      <c r="M7" s="33">
        <f>EOMONTH($I$7,COLUMNS($I7:M7)-1)</f>
        <v>45777</v>
      </c>
      <c r="N7" s="33">
        <f>EOMONTH($I$7,COLUMNS($I7:N7)-1)</f>
        <v>45808</v>
      </c>
      <c r="O7" s="33">
        <f>EOMONTH($I$7,COLUMNS($I7:O7)-1)</f>
        <v>45838</v>
      </c>
      <c r="P7" s="33">
        <f>EOMONTH($I$7,COLUMNS($I7:P7)-1)</f>
        <v>45869</v>
      </c>
      <c r="Q7" s="33">
        <f>EOMONTH($I$7,COLUMNS($I7:Q7)-1)</f>
        <v>45900</v>
      </c>
      <c r="R7" s="33">
        <f>EOMONTH($I$7,COLUMNS($I7:R7)-1)</f>
        <v>45930</v>
      </c>
      <c r="S7" s="33">
        <f>EOMONTH($I$7,COLUMNS($I7:S7)-1)</f>
        <v>45961</v>
      </c>
      <c r="T7" s="33">
        <f>EOMONTH($I$7,COLUMNS($I7:T7)-1)</f>
        <v>45991</v>
      </c>
      <c r="U7" s="33">
        <f>EOMONTH($I$7,COLUMNS($I7:U7)-1)</f>
        <v>46022</v>
      </c>
      <c r="V7" s="33">
        <f>EOMONTH($I$7,COLUMNS($I7:V7)-1)</f>
        <v>46053</v>
      </c>
      <c r="W7" s="31"/>
      <c r="X7" s="252">
        <v>45688</v>
      </c>
      <c r="Y7" s="254"/>
    </row>
    <row r="8" spans="1:25" s="1" customFormat="1" ht="14.25" customHeight="1" x14ac:dyDescent="0.2">
      <c r="A8" s="35"/>
      <c r="B8" s="35" t="s">
        <v>8</v>
      </c>
      <c r="C8" s="35"/>
      <c r="D8" s="36"/>
      <c r="E8" s="35"/>
      <c r="F8" s="36" t="s">
        <v>7</v>
      </c>
      <c r="G8" s="36" t="s">
        <v>7</v>
      </c>
      <c r="H8" s="36" t="s">
        <v>7</v>
      </c>
      <c r="I8" s="36" t="s">
        <v>302</v>
      </c>
      <c r="J8" s="36" t="s">
        <v>6</v>
      </c>
      <c r="K8" s="36" t="s">
        <v>6</v>
      </c>
      <c r="L8" s="36" t="s">
        <v>6</v>
      </c>
      <c r="M8" s="36" t="s">
        <v>6</v>
      </c>
      <c r="N8" s="36" t="s">
        <v>6</v>
      </c>
      <c r="O8" s="36" t="s">
        <v>6</v>
      </c>
      <c r="P8" s="36" t="s">
        <v>6</v>
      </c>
      <c r="Q8" s="36" t="s">
        <v>6</v>
      </c>
      <c r="R8" s="36" t="s">
        <v>6</v>
      </c>
      <c r="S8" s="36" t="s">
        <v>6</v>
      </c>
      <c r="T8" s="36" t="s">
        <v>6</v>
      </c>
      <c r="U8" s="36" t="s">
        <v>6</v>
      </c>
      <c r="V8" s="36" t="s">
        <v>6</v>
      </c>
      <c r="W8" s="35"/>
      <c r="X8" s="253">
        <v>46053</v>
      </c>
      <c r="Y8" s="254"/>
    </row>
    <row r="9" spans="1:25" ht="14.25" customHeight="1" x14ac:dyDescent="0.2">
      <c r="F9" s="285"/>
      <c r="G9" s="285"/>
      <c r="H9" s="286"/>
      <c r="I9" s="292"/>
      <c r="J9" s="293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206"/>
      <c r="Y9" s="206"/>
    </row>
    <row r="10" spans="1:25" ht="14.25" customHeight="1" x14ac:dyDescent="0.2">
      <c r="B10" s="4" t="s">
        <v>409</v>
      </c>
      <c r="C10" s="14"/>
      <c r="F10" s="285"/>
      <c r="G10" s="285"/>
      <c r="H10" s="285"/>
      <c r="I10" s="285"/>
      <c r="X10" s="206"/>
      <c r="Y10" s="206"/>
    </row>
    <row r="11" spans="1:25" ht="4.5" customHeight="1" x14ac:dyDescent="0.2">
      <c r="F11" s="285"/>
      <c r="G11" s="285"/>
      <c r="H11" s="285"/>
      <c r="I11" s="285"/>
      <c r="X11" s="206"/>
      <c r="Y11" s="206"/>
    </row>
    <row r="12" spans="1:25" ht="14.25" customHeight="1" x14ac:dyDescent="0.2">
      <c r="B12" s="204" t="s">
        <v>357</v>
      </c>
      <c r="F12" s="287"/>
      <c r="G12" s="287"/>
      <c r="H12" s="287"/>
      <c r="I12" s="287"/>
      <c r="J12" s="260">
        <f>-SUM('P&amp;L_Forecast'!J47:J50)</f>
        <v>4788.8719276986249</v>
      </c>
      <c r="K12" s="260">
        <f>-SUM('P&amp;L_Forecast'!K47:K50)</f>
        <v>480.53057230136602</v>
      </c>
      <c r="L12" s="260">
        <f>-SUM('P&amp;L_Forecast'!L47:L50)</f>
        <v>3686.9754584694747</v>
      </c>
      <c r="M12" s="260">
        <f>-SUM('P&amp;L_Forecast'!M47:M50)</f>
        <v>5144.6465500106306</v>
      </c>
      <c r="N12" s="260">
        <f>-SUM('P&amp;L_Forecast'!N47:N50)</f>
        <v>669.54313454430735</v>
      </c>
      <c r="O12" s="260">
        <f>-SUM('P&amp;L_Forecast'!O47:O50)</f>
        <v>1978.0953456996835</v>
      </c>
      <c r="P12" s="260">
        <f>-SUM('P&amp;L_Forecast'!P47:P50)</f>
        <v>1156.373485636504</v>
      </c>
      <c r="Q12" s="260">
        <f>-SUM('P&amp;L_Forecast'!Q47:Q50)</f>
        <v>682.05008073814395</v>
      </c>
      <c r="R12" s="260">
        <f>-SUM('P&amp;L_Forecast'!R47:R50)</f>
        <v>688.60417976135227</v>
      </c>
      <c r="S12" s="260">
        <f>-SUM('P&amp;L_Forecast'!S47:S50)</f>
        <v>580.77975388479706</v>
      </c>
      <c r="T12" s="260">
        <f>-SUM('P&amp;L_Forecast'!T47:T50)</f>
        <v>1170.9128540365887</v>
      </c>
      <c r="U12" s="260">
        <f>-SUM('P&amp;L_Forecast'!U47:U50)</f>
        <v>1337.981016149977</v>
      </c>
      <c r="V12" s="260">
        <f>-SUM('P&amp;L_Forecast'!V47:V50)</f>
        <v>1807.9512674414998</v>
      </c>
      <c r="X12" s="207">
        <f>SUM(_xlfn.XLOOKUP($X$7,$I$7:W$7,$I12:W12):_xlfn.XLOOKUP($X$8,$I$7:W$7,$I12:W12))</f>
        <v>24173.315626372943</v>
      </c>
      <c r="Y12" s="206"/>
    </row>
    <row r="13" spans="1:25" ht="3" customHeight="1" x14ac:dyDescent="0.35">
      <c r="F13" s="288"/>
      <c r="G13" s="288"/>
      <c r="H13" s="288"/>
      <c r="I13" s="288"/>
      <c r="J13" s="261" t="s">
        <v>12</v>
      </c>
      <c r="K13" s="261" t="s">
        <v>12</v>
      </c>
      <c r="L13" s="261" t="s">
        <v>12</v>
      </c>
      <c r="M13" s="261" t="s">
        <v>12</v>
      </c>
      <c r="N13" s="261" t="s">
        <v>12</v>
      </c>
      <c r="O13" s="261" t="s">
        <v>12</v>
      </c>
      <c r="P13" s="261" t="s">
        <v>12</v>
      </c>
      <c r="Q13" s="261" t="s">
        <v>12</v>
      </c>
      <c r="R13" s="261" t="s">
        <v>12</v>
      </c>
      <c r="S13" s="261" t="s">
        <v>12</v>
      </c>
      <c r="T13" s="261" t="s">
        <v>12</v>
      </c>
      <c r="U13" s="261" t="s">
        <v>12</v>
      </c>
      <c r="V13" s="261" t="s">
        <v>12</v>
      </c>
      <c r="W13" s="8"/>
      <c r="X13" s="208" t="s">
        <v>12</v>
      </c>
      <c r="Y13" s="206"/>
    </row>
    <row r="14" spans="1:25" ht="14.25" customHeight="1" x14ac:dyDescent="0.2">
      <c r="B14" s="255" t="s">
        <v>356</v>
      </c>
      <c r="F14" s="287"/>
      <c r="G14" s="287"/>
      <c r="H14" s="287"/>
      <c r="I14" s="287"/>
      <c r="J14" s="260">
        <f t="shared" ref="J14" si="1">SUM(J12:J13)</f>
        <v>4788.8719276986249</v>
      </c>
      <c r="K14" s="260">
        <f t="shared" ref="K14:U14" si="2">SUM(K12:K13)</f>
        <v>480.53057230136602</v>
      </c>
      <c r="L14" s="260">
        <f t="shared" si="2"/>
        <v>3686.9754584694747</v>
      </c>
      <c r="M14" s="260">
        <f t="shared" si="2"/>
        <v>5144.6465500106306</v>
      </c>
      <c r="N14" s="260">
        <f t="shared" si="2"/>
        <v>669.54313454430735</v>
      </c>
      <c r="O14" s="260">
        <f t="shared" si="2"/>
        <v>1978.0953456996835</v>
      </c>
      <c r="P14" s="260">
        <f t="shared" si="2"/>
        <v>1156.373485636504</v>
      </c>
      <c r="Q14" s="260">
        <f t="shared" si="2"/>
        <v>682.05008073814395</v>
      </c>
      <c r="R14" s="260">
        <f t="shared" si="2"/>
        <v>688.60417976135227</v>
      </c>
      <c r="S14" s="260">
        <f t="shared" si="2"/>
        <v>580.77975388479706</v>
      </c>
      <c r="T14" s="260">
        <f t="shared" si="2"/>
        <v>1170.9128540365887</v>
      </c>
      <c r="U14" s="260">
        <f t="shared" si="2"/>
        <v>1337.981016149977</v>
      </c>
      <c r="V14" s="260">
        <f t="shared" ref="V14" si="3">SUM(V12:V13)</f>
        <v>1807.9512674414998</v>
      </c>
      <c r="X14" s="207">
        <f>SUM(_xlfn.XLOOKUP($X$7,$I$7:W$7,$I14:W14):_xlfn.XLOOKUP($X$8,$I$7:W$7,$I14:W14))</f>
        <v>24173.315626372943</v>
      </c>
      <c r="Y14" s="206"/>
    </row>
    <row r="15" spans="1:25" ht="14.25" customHeight="1" x14ac:dyDescent="0.2">
      <c r="F15" s="285"/>
      <c r="G15" s="285"/>
      <c r="H15" s="285"/>
      <c r="I15" s="285"/>
      <c r="K15" s="281"/>
      <c r="L15" s="281"/>
      <c r="M15" s="281"/>
      <c r="N15" s="281"/>
      <c r="O15" s="281"/>
      <c r="P15" s="281"/>
      <c r="Q15" s="281"/>
      <c r="R15" s="281"/>
      <c r="S15" s="281"/>
      <c r="T15" s="281"/>
      <c r="U15" s="281"/>
      <c r="V15" s="281"/>
      <c r="X15" s="206"/>
      <c r="Y15" s="206"/>
    </row>
    <row r="16" spans="1:25" ht="14.25" customHeight="1" x14ac:dyDescent="0.2">
      <c r="B16" s="4" t="s">
        <v>410</v>
      </c>
      <c r="F16" s="285"/>
      <c r="G16" s="285"/>
      <c r="H16" s="285"/>
      <c r="I16" s="285"/>
      <c r="K16" s="281"/>
      <c r="L16" s="281"/>
      <c r="M16" s="281"/>
      <c r="N16" s="281"/>
      <c r="O16" s="281"/>
      <c r="P16" s="281"/>
      <c r="Q16" s="281"/>
      <c r="R16" s="281"/>
      <c r="S16" s="281"/>
      <c r="T16" s="281"/>
      <c r="U16" s="281"/>
      <c r="V16" s="281"/>
      <c r="X16" s="206"/>
      <c r="Y16" s="206"/>
    </row>
    <row r="17" spans="2:25" ht="4.5" customHeight="1" x14ac:dyDescent="0.2">
      <c r="F17" s="285"/>
      <c r="G17" s="285"/>
      <c r="H17" s="285"/>
      <c r="I17" s="285"/>
      <c r="K17" s="281"/>
      <c r="L17" s="281"/>
      <c r="M17" s="281"/>
      <c r="N17" s="281"/>
      <c r="O17" s="281"/>
      <c r="P17" s="281"/>
      <c r="Q17" s="281"/>
      <c r="R17" s="281"/>
      <c r="S17" s="281"/>
      <c r="T17" s="281"/>
      <c r="U17" s="281"/>
      <c r="V17" s="281"/>
      <c r="X17" s="206"/>
      <c r="Y17" s="206"/>
    </row>
    <row r="18" spans="2:25" ht="14.25" customHeight="1" x14ac:dyDescent="0.2">
      <c r="B18" s="204" t="s">
        <v>358</v>
      </c>
      <c r="F18" s="287"/>
      <c r="G18" s="287"/>
      <c r="H18" s="287"/>
      <c r="I18" s="287"/>
      <c r="J18" s="260">
        <f ca="1">SUM('P&amp;L_Forecast'!J61:J62)</f>
        <v>-2871.11</v>
      </c>
      <c r="K18" s="260">
        <f ca="1">SUM('P&amp;L_Forecast'!K61:K62)</f>
        <v>-1969.6120068674793</v>
      </c>
      <c r="L18" s="260">
        <f ca="1">SUM('P&amp;L_Forecast'!L61:L62)</f>
        <v>-2748.3116527704392</v>
      </c>
      <c r="M18" s="260">
        <f ca="1">SUM('P&amp;L_Forecast'!M61:M62)</f>
        <v>-357.67533897868333</v>
      </c>
      <c r="N18" s="260">
        <f ca="1">SUM('P&amp;L_Forecast'!N61:N62)</f>
        <v>-1056.7144770841794</v>
      </c>
      <c r="O18" s="260">
        <f ca="1">SUM('P&amp;L_Forecast'!O61:O62)</f>
        <v>-617.74403637563933</v>
      </c>
      <c r="P18" s="260">
        <f ca="1">SUM('P&amp;L_Forecast'!P61:P62)</f>
        <v>-364.35665044118275</v>
      </c>
      <c r="Q18" s="260">
        <f ca="1">SUM('P&amp;L_Forecast'!Q61:Q62)</f>
        <v>-367.85790296529592</v>
      </c>
      <c r="R18" s="260">
        <f ca="1">SUM('P&amp;L_Forecast'!R61:R62)</f>
        <v>-310.25722559918859</v>
      </c>
      <c r="S18" s="260">
        <f ca="1">SUM('P&amp;L_Forecast'!S61:S62)</f>
        <v>-625.51108416200134</v>
      </c>
      <c r="T18" s="260">
        <f ca="1">SUM('P&amp;L_Forecast'!T61:T62)</f>
        <v>-714.76024292922841</v>
      </c>
      <c r="U18" s="260">
        <f ca="1">SUM('P&amp;L_Forecast'!U61:U62)</f>
        <v>-965.82213912057614</v>
      </c>
      <c r="V18" s="260">
        <f ca="1">SUM('P&amp;L_Forecast'!V61:V62)</f>
        <v>-1409.0602527380306</v>
      </c>
      <c r="X18" s="207">
        <f ca="1">SUM(_xlfn.XLOOKUP($X$7,$I$7:W$7,$I18:W18):_xlfn.XLOOKUP($X$8,$I$7:W$7,$I18:W18))</f>
        <v>-14378.793010031926</v>
      </c>
      <c r="Y18" s="206"/>
    </row>
    <row r="19" spans="2:25" ht="14.25" customHeight="1" x14ac:dyDescent="0.2">
      <c r="B19" s="204" t="s">
        <v>359</v>
      </c>
      <c r="F19" s="287"/>
      <c r="G19" s="287"/>
      <c r="H19" s="287"/>
      <c r="I19" s="287"/>
      <c r="J19" s="260">
        <f>(SUM('P&amp;L_Forecast'!J70:J71)+SUM('P&amp;L_Forecast'!J84:J85)+'P&amp;L_Forecast'!J91)</f>
        <v>-671.77610679930467</v>
      </c>
      <c r="K19" s="260">
        <f>(SUM('P&amp;L_Forecast'!K70:K71)+SUM('P&amp;L_Forecast'!K84:K85)+'P&amp;L_Forecast'!K91)</f>
        <v>-935.52095792999808</v>
      </c>
      <c r="L19" s="260">
        <f>(SUM('P&amp;L_Forecast'!L70:L71)+SUM('P&amp;L_Forecast'!L84:L85)+'P&amp;L_Forecast'!L91)</f>
        <v>-467.5464299892011</v>
      </c>
      <c r="M19" s="260">
        <f>(SUM('P&amp;L_Forecast'!M70:M71)+SUM('P&amp;L_Forecast'!M84:M85)+'P&amp;L_Forecast'!M91)</f>
        <v>-434.09036377808445</v>
      </c>
      <c r="N19" s="260">
        <f>(SUM('P&amp;L_Forecast'!N70:N71)+SUM('P&amp;L_Forecast'!N84:N85)+'P&amp;L_Forecast'!N91)</f>
        <v>-406.89792407572736</v>
      </c>
      <c r="O19" s="260">
        <f>(SUM('P&amp;L_Forecast'!O70:O71)+SUM('P&amp;L_Forecast'!O84:O85)+'P&amp;L_Forecast'!O91)</f>
        <v>-308.346219593022</v>
      </c>
      <c r="P19" s="260">
        <f>(SUM('P&amp;L_Forecast'!P70:P71)+SUM('P&amp;L_Forecast'!P84:P85)+'P&amp;L_Forecast'!P91)</f>
        <v>-308.52344784530789</v>
      </c>
      <c r="Q19" s="260">
        <f>(SUM('P&amp;L_Forecast'!Q70:Q71)+SUM('P&amp;L_Forecast'!Q84:Q85)+'P&amp;L_Forecast'!Q91)</f>
        <v>-307.74553694300829</v>
      </c>
      <c r="R19" s="260">
        <f>(SUM('P&amp;L_Forecast'!R70:R71)+SUM('P&amp;L_Forecast'!R84:R85)+'P&amp;L_Forecast'!R91)</f>
        <v>-386.98977438776774</v>
      </c>
      <c r="S19" s="260">
        <f>(SUM('P&amp;L_Forecast'!S70:S71)+SUM('P&amp;L_Forecast'!S84:S85)+'P&amp;L_Forecast'!S91)</f>
        <v>-417.34831500063456</v>
      </c>
      <c r="T19" s="260">
        <f>(SUM('P&amp;L_Forecast'!T70:T71)+SUM('P&amp;L_Forecast'!T84:T85)+'P&amp;L_Forecast'!T91)</f>
        <v>-493.53280042963263</v>
      </c>
      <c r="U19" s="260">
        <f>(SUM('P&amp;L_Forecast'!U70:U71)+SUM('P&amp;L_Forecast'!U84:U85)+'P&amp;L_Forecast'!U91)</f>
        <v>-960.22797360385709</v>
      </c>
      <c r="V19" s="260">
        <f>(SUM('P&amp;L_Forecast'!V70:V71)+SUM('P&amp;L_Forecast'!V84:V85)+'P&amp;L_Forecast'!V91)</f>
        <v>-789.0990630996447</v>
      </c>
      <c r="X19" s="207">
        <f>SUM(_xlfn.XLOOKUP($X$7,$I$7:W$7,$I19:W19):_xlfn.XLOOKUP($X$8,$I$7:W$7,$I19:W19))</f>
        <v>-6887.6449134751902</v>
      </c>
      <c r="Y19" s="206"/>
    </row>
    <row r="20" spans="2:25" ht="14.25" customHeight="1" x14ac:dyDescent="0.2">
      <c r="B20" s="204" t="s">
        <v>363</v>
      </c>
      <c r="F20" s="287"/>
      <c r="G20" s="287"/>
      <c r="H20" s="287"/>
      <c r="I20" s="287"/>
      <c r="J20" s="260">
        <f>-'P&amp;L_Forecast'!J106</f>
        <v>-25</v>
      </c>
      <c r="K20" s="260">
        <f>-'P&amp;L_Forecast'!K106</f>
        <v>-25</v>
      </c>
      <c r="L20" s="260">
        <f>-'P&amp;L_Forecast'!L106</f>
        <v>-25</v>
      </c>
      <c r="M20" s="260">
        <f>-'P&amp;L_Forecast'!M106</f>
        <v>-25</v>
      </c>
      <c r="N20" s="260">
        <f>-'P&amp;L_Forecast'!N106</f>
        <v>-25</v>
      </c>
      <c r="O20" s="260">
        <f>-'P&amp;L_Forecast'!O106</f>
        <v>-25</v>
      </c>
      <c r="P20" s="260">
        <f>-'P&amp;L_Forecast'!P106</f>
        <v>-25</v>
      </c>
      <c r="Q20" s="260">
        <f>-'P&amp;L_Forecast'!Q106</f>
        <v>-25</v>
      </c>
      <c r="R20" s="260">
        <f>-'P&amp;L_Forecast'!R106</f>
        <v>-25</v>
      </c>
      <c r="S20" s="260">
        <f>-'P&amp;L_Forecast'!S106</f>
        <v>-25</v>
      </c>
      <c r="T20" s="260">
        <f>-'P&amp;L_Forecast'!T106</f>
        <v>-25</v>
      </c>
      <c r="U20" s="260">
        <f>-'P&amp;L_Forecast'!U106</f>
        <v>-25</v>
      </c>
      <c r="V20" s="260">
        <f>-'P&amp;L_Forecast'!V106</f>
        <v>-25</v>
      </c>
      <c r="X20" s="207">
        <f>SUM(_xlfn.XLOOKUP($X$7,$I$7:W$7,$I20:W20):_xlfn.XLOOKUP($X$8,$I$7:W$7,$I20:W20))</f>
        <v>-325</v>
      </c>
      <c r="Y20" s="206"/>
    </row>
    <row r="21" spans="2:25" ht="14.25" customHeight="1" x14ac:dyDescent="0.2">
      <c r="B21" s="204" t="s">
        <v>362</v>
      </c>
      <c r="F21" s="287"/>
      <c r="G21" s="287"/>
      <c r="H21" s="287"/>
      <c r="I21" s="287"/>
      <c r="J21" s="260">
        <f>'P&amp;L_Forecast'!J99</f>
        <v>-56</v>
      </c>
      <c r="K21" s="260">
        <f>'P&amp;L_Forecast'!K99</f>
        <v>-77.37889140084269</v>
      </c>
      <c r="L21" s="260">
        <f>'P&amp;L_Forecast'!L99</f>
        <v>-107.26196837381173</v>
      </c>
      <c r="M21" s="260">
        <f>'P&amp;L_Forecast'!M99</f>
        <v>-21.118932962291968</v>
      </c>
      <c r="N21" s="260">
        <f>'P&amp;L_Forecast'!N99</f>
        <v>-41.241783735441487</v>
      </c>
      <c r="O21" s="260">
        <f>'P&amp;L_Forecast'!O99</f>
        <v>-26.249723734762824</v>
      </c>
      <c r="P21" s="260">
        <f>'P&amp;L_Forecast'!P99</f>
        <v>-21.250745869969474</v>
      </c>
      <c r="Q21" s="260">
        <f>'P&amp;L_Forecast'!Q99</f>
        <v>-21.319820673368021</v>
      </c>
      <c r="R21" s="260">
        <f>'P&amp;L_Forecast'!R99</f>
        <v>-20.183440067489105</v>
      </c>
      <c r="S21" s="260">
        <f>'P&amp;L_Forecast'!S99</f>
        <v>-26.402956697862496</v>
      </c>
      <c r="T21" s="260">
        <f>'P&amp;L_Forecast'!T99</f>
        <v>-28.163717469293314</v>
      </c>
      <c r="U21" s="260">
        <f>'P&amp;L_Forecast'!U99</f>
        <v>-37.694409088084441</v>
      </c>
      <c r="V21" s="260">
        <f>'P&amp;L_Forecast'!V99</f>
        <v>-54.993245075981953</v>
      </c>
      <c r="X21" s="207">
        <f>SUM(_xlfn.XLOOKUP($X$7,$I$7:W$7,$I21:W21):_xlfn.XLOOKUP($X$8,$I$7:W$7,$I21:W21))</f>
        <v>-539.25963514919965</v>
      </c>
      <c r="Y21" s="206"/>
    </row>
    <row r="22" spans="2:25" ht="3" customHeight="1" x14ac:dyDescent="0.35">
      <c r="F22" s="288"/>
      <c r="G22" s="288"/>
      <c r="H22" s="288"/>
      <c r="I22" s="288"/>
      <c r="J22" s="261" t="s">
        <v>12</v>
      </c>
      <c r="K22" s="261" t="s">
        <v>12</v>
      </c>
      <c r="L22" s="261" t="s">
        <v>12</v>
      </c>
      <c r="M22" s="261" t="s">
        <v>12</v>
      </c>
      <c r="N22" s="261" t="s">
        <v>12</v>
      </c>
      <c r="O22" s="261" t="s">
        <v>12</v>
      </c>
      <c r="P22" s="261" t="s">
        <v>12</v>
      </c>
      <c r="Q22" s="261" t="s">
        <v>12</v>
      </c>
      <c r="R22" s="261" t="s">
        <v>12</v>
      </c>
      <c r="S22" s="261" t="s">
        <v>12</v>
      </c>
      <c r="T22" s="261" t="s">
        <v>12</v>
      </c>
      <c r="U22" s="261" t="s">
        <v>12</v>
      </c>
      <c r="V22" s="261" t="s">
        <v>12</v>
      </c>
      <c r="W22" s="8"/>
      <c r="X22" s="208" t="s">
        <v>12</v>
      </c>
      <c r="Y22" s="206"/>
    </row>
    <row r="23" spans="2:25" ht="14.25" customHeight="1" x14ac:dyDescent="0.2">
      <c r="B23" s="255" t="s">
        <v>360</v>
      </c>
      <c r="F23" s="287"/>
      <c r="G23" s="287"/>
      <c r="H23" s="287"/>
      <c r="I23" s="287"/>
      <c r="J23" s="260">
        <f t="shared" ref="J23" ca="1" si="4">SUM(J18:J22)</f>
        <v>-3623.8861067993048</v>
      </c>
      <c r="K23" s="260">
        <f t="shared" ref="K23:U23" ca="1" si="5">SUM(K18:K22)</f>
        <v>-3007.5118561983199</v>
      </c>
      <c r="L23" s="260">
        <f t="shared" ca="1" si="5"/>
        <v>-3348.1200511334519</v>
      </c>
      <c r="M23" s="260">
        <f t="shared" ca="1" si="5"/>
        <v>-837.8846357190597</v>
      </c>
      <c r="N23" s="260">
        <f t="shared" ca="1" si="5"/>
        <v>-1529.8541848953482</v>
      </c>
      <c r="O23" s="260">
        <f t="shared" ca="1" si="5"/>
        <v>-977.33997970342409</v>
      </c>
      <c r="P23" s="260">
        <f t="shared" ca="1" si="5"/>
        <v>-719.13084415646017</v>
      </c>
      <c r="Q23" s="260">
        <f t="shared" ca="1" si="5"/>
        <v>-721.92326058167214</v>
      </c>
      <c r="R23" s="260">
        <f t="shared" ca="1" si="5"/>
        <v>-742.4304400544454</v>
      </c>
      <c r="S23" s="260">
        <f t="shared" ca="1" si="5"/>
        <v>-1094.2623558604982</v>
      </c>
      <c r="T23" s="260">
        <f t="shared" ca="1" si="5"/>
        <v>-1261.4567608281543</v>
      </c>
      <c r="U23" s="260">
        <f t="shared" ca="1" si="5"/>
        <v>-1988.7445218125179</v>
      </c>
      <c r="V23" s="260">
        <f t="shared" ref="V23" ca="1" si="6">SUM(V18:V22)</f>
        <v>-2278.1525609136575</v>
      </c>
      <c r="X23" s="207">
        <f ca="1">SUM(_xlfn.XLOOKUP($X$7,$I$7:W$7,$I23:W23):_xlfn.XLOOKUP($X$8,$I$7:W$7,$I23:W23))</f>
        <v>-22130.697558656317</v>
      </c>
      <c r="Y23" s="206"/>
    </row>
    <row r="24" spans="2:25" ht="14.25" customHeight="1" x14ac:dyDescent="0.2">
      <c r="B24" s="26"/>
      <c r="F24" s="285"/>
      <c r="G24" s="285"/>
      <c r="H24" s="285"/>
      <c r="I24" s="285"/>
      <c r="K24" s="281"/>
      <c r="L24" s="281"/>
      <c r="M24" s="281"/>
      <c r="N24" s="281"/>
      <c r="O24" s="281"/>
      <c r="P24" s="281"/>
      <c r="Q24" s="281"/>
      <c r="R24" s="281"/>
      <c r="S24" s="281"/>
      <c r="T24" s="281"/>
      <c r="U24" s="281"/>
      <c r="V24" s="281"/>
      <c r="X24" s="206"/>
      <c r="Y24" s="206"/>
    </row>
    <row r="25" spans="2:25" s="1" customFormat="1" ht="14.25" customHeight="1" x14ac:dyDescent="0.2">
      <c r="B25" s="256" t="s">
        <v>364</v>
      </c>
      <c r="F25" s="289"/>
      <c r="G25" s="289"/>
      <c r="H25" s="289"/>
      <c r="I25" s="289"/>
      <c r="J25" s="282">
        <f t="shared" ref="J25:U25" ca="1" si="7">J14+J23</f>
        <v>1164.9858208993201</v>
      </c>
      <c r="K25" s="282">
        <f t="shared" ca="1" si="7"/>
        <v>-2526.9812838969538</v>
      </c>
      <c r="L25" s="282">
        <f t="shared" ca="1" si="7"/>
        <v>338.85540733602284</v>
      </c>
      <c r="M25" s="282">
        <f t="shared" ca="1" si="7"/>
        <v>4306.761914291571</v>
      </c>
      <c r="N25" s="282">
        <f t="shared" ca="1" si="7"/>
        <v>-860.31105035104088</v>
      </c>
      <c r="O25" s="282">
        <f t="shared" ca="1" si="7"/>
        <v>1000.7553659962595</v>
      </c>
      <c r="P25" s="282">
        <f t="shared" ca="1" si="7"/>
        <v>437.24264148004386</v>
      </c>
      <c r="Q25" s="282">
        <f t="shared" ca="1" si="7"/>
        <v>-39.873179843528192</v>
      </c>
      <c r="R25" s="282">
        <f t="shared" ca="1" si="7"/>
        <v>-53.826260293093128</v>
      </c>
      <c r="S25" s="282">
        <f t="shared" ca="1" si="7"/>
        <v>-513.48260197570119</v>
      </c>
      <c r="T25" s="282">
        <f t="shared" ca="1" si="7"/>
        <v>-90.543906791565632</v>
      </c>
      <c r="U25" s="282">
        <f t="shared" ca="1" si="7"/>
        <v>-650.76350566254087</v>
      </c>
      <c r="V25" s="282">
        <f t="shared" ref="V25" ca="1" si="8">V14+V23</f>
        <v>-470.20129347215766</v>
      </c>
      <c r="X25" s="209">
        <f ca="1">SUM(_xlfn.XLOOKUP($X$7,$I$7:W$7,$I25:W25):_xlfn.XLOOKUP($X$8,$I$7:W$7,$I25:W25))</f>
        <v>2042.6180677166365</v>
      </c>
      <c r="Y25" s="254"/>
    </row>
    <row r="26" spans="2:25" ht="3" customHeight="1" x14ac:dyDescent="0.35">
      <c r="B26" s="26"/>
      <c r="F26" s="290"/>
      <c r="G26" s="290"/>
      <c r="H26" s="290"/>
      <c r="I26" s="290"/>
      <c r="J26" s="259" t="s">
        <v>12</v>
      </c>
      <c r="K26" s="259" t="s">
        <v>12</v>
      </c>
      <c r="L26" s="259" t="s">
        <v>12</v>
      </c>
      <c r="M26" s="259" t="s">
        <v>12</v>
      </c>
      <c r="N26" s="259" t="s">
        <v>12</v>
      </c>
      <c r="O26" s="259" t="s">
        <v>12</v>
      </c>
      <c r="P26" s="259" t="s">
        <v>12</v>
      </c>
      <c r="Q26" s="259" t="s">
        <v>12</v>
      </c>
      <c r="R26" s="259" t="s">
        <v>12</v>
      </c>
      <c r="S26" s="259" t="s">
        <v>12</v>
      </c>
      <c r="T26" s="259" t="s">
        <v>12</v>
      </c>
      <c r="U26" s="259" t="s">
        <v>12</v>
      </c>
      <c r="V26" s="259" t="s">
        <v>12</v>
      </c>
      <c r="X26" s="210" t="s">
        <v>12</v>
      </c>
      <c r="Y26" s="206"/>
    </row>
    <row r="27" spans="2:25" ht="14.25" customHeight="1" x14ac:dyDescent="0.2">
      <c r="B27" s="26"/>
      <c r="F27" s="285"/>
      <c r="G27" s="285"/>
      <c r="H27" s="285"/>
      <c r="I27" s="285"/>
      <c r="K27" s="281"/>
      <c r="L27" s="281"/>
      <c r="M27" s="281"/>
      <c r="N27" s="281"/>
      <c r="O27" s="281"/>
      <c r="P27" s="281"/>
      <c r="Q27" s="281"/>
      <c r="R27" s="281"/>
      <c r="S27" s="281"/>
      <c r="T27" s="281"/>
      <c r="U27" s="281"/>
      <c r="V27" s="281"/>
      <c r="X27" s="206"/>
      <c r="Y27" s="206"/>
    </row>
    <row r="28" spans="2:25" ht="14.25" customHeight="1" x14ac:dyDescent="0.2">
      <c r="B28" s="4" t="s">
        <v>411</v>
      </c>
      <c r="F28" s="285"/>
      <c r="G28" s="285"/>
      <c r="H28" s="285"/>
      <c r="I28" s="285"/>
      <c r="K28" s="281"/>
      <c r="L28" s="281"/>
      <c r="M28" s="281"/>
      <c r="N28" s="281"/>
      <c r="O28" s="281"/>
      <c r="P28" s="281"/>
      <c r="Q28" s="281"/>
      <c r="R28" s="281"/>
      <c r="S28" s="281"/>
      <c r="T28" s="281"/>
      <c r="U28" s="281"/>
      <c r="V28" s="281"/>
      <c r="X28" s="206"/>
      <c r="Y28" s="206"/>
    </row>
    <row r="29" spans="2:25" ht="4.5" customHeight="1" x14ac:dyDescent="0.2">
      <c r="B29" s="26"/>
      <c r="F29" s="285"/>
      <c r="G29" s="285"/>
      <c r="H29" s="285"/>
      <c r="I29" s="285"/>
      <c r="K29" s="281"/>
      <c r="L29" s="281"/>
      <c r="M29" s="281"/>
      <c r="N29" s="281"/>
      <c r="O29" s="281"/>
      <c r="P29" s="281"/>
      <c r="Q29" s="281"/>
      <c r="R29" s="281"/>
      <c r="S29" s="281"/>
      <c r="T29" s="281"/>
      <c r="U29" s="281"/>
      <c r="V29" s="281"/>
      <c r="X29" s="206"/>
      <c r="Y29" s="206"/>
    </row>
    <row r="30" spans="2:25" ht="14.25" customHeight="1" x14ac:dyDescent="0.2">
      <c r="B30" s="204" t="s">
        <v>365</v>
      </c>
      <c r="F30" s="287"/>
      <c r="G30" s="287"/>
      <c r="H30" s="287"/>
      <c r="I30" s="287"/>
      <c r="J30" s="260">
        <f>-'P&amp;L_Forecast'!J114</f>
        <v>0</v>
      </c>
      <c r="K30" s="260">
        <f>-'P&amp;L_Forecast'!K114</f>
        <v>-80</v>
      </c>
      <c r="L30" s="260">
        <f>-'P&amp;L_Forecast'!L114</f>
        <v>-145</v>
      </c>
      <c r="M30" s="260">
        <f>-'P&amp;L_Forecast'!M114</f>
        <v>-600</v>
      </c>
      <c r="N30" s="260">
        <f>-'P&amp;L_Forecast'!N114</f>
        <v>0</v>
      </c>
      <c r="O30" s="260">
        <f>-'P&amp;L_Forecast'!O114</f>
        <v>-360</v>
      </c>
      <c r="P30" s="260">
        <f>-'P&amp;L_Forecast'!P114</f>
        <v>0</v>
      </c>
      <c r="Q30" s="260">
        <f>-'P&amp;L_Forecast'!Q114</f>
        <v>0</v>
      </c>
      <c r="R30" s="260">
        <f>-'P&amp;L_Forecast'!R114</f>
        <v>0</v>
      </c>
      <c r="S30" s="260">
        <f>-'P&amp;L_Forecast'!S114</f>
        <v>0</v>
      </c>
      <c r="T30" s="260">
        <f>-'P&amp;L_Forecast'!T114</f>
        <v>0</v>
      </c>
      <c r="U30" s="260">
        <f>-'P&amp;L_Forecast'!U114</f>
        <v>0</v>
      </c>
      <c r="V30" s="260">
        <f>-'P&amp;L_Forecast'!V114</f>
        <v>0</v>
      </c>
      <c r="X30" s="207">
        <f>SUM(_xlfn.XLOOKUP($X$7,$I$7:W$7,$I30:W30):_xlfn.XLOOKUP($X$8,$I$7:W$7,$I30:W30))</f>
        <v>-1185</v>
      </c>
      <c r="Y30" s="206"/>
    </row>
    <row r="31" spans="2:25" ht="14.25" customHeight="1" x14ac:dyDescent="0.2">
      <c r="B31" s="204" t="s">
        <v>65</v>
      </c>
      <c r="F31" s="287"/>
      <c r="G31" s="287"/>
      <c r="H31" s="287"/>
      <c r="I31" s="287"/>
      <c r="J31" s="260">
        <f ca="1">-IF(-'P&amp;L_Forecast'!J123&gt;=0,-'P&amp;L_Forecast'!J123,0)</f>
        <v>0</v>
      </c>
      <c r="K31" s="260">
        <f ca="1">-IF(-'P&amp;L_Forecast'!K123&gt;=0,-'P&amp;L_Forecast'!K123,0)</f>
        <v>0</v>
      </c>
      <c r="L31" s="260">
        <f ca="1">-IF(-'P&amp;L_Forecast'!L123&gt;=0,-'P&amp;L_Forecast'!L123,0)</f>
        <v>-791.14495622500374</v>
      </c>
      <c r="M31" s="260">
        <f ca="1">-IF(-'P&amp;L_Forecast'!M123&gt;=0,-'P&amp;L_Forecast'!M123,0)</f>
        <v>0</v>
      </c>
      <c r="N31" s="260">
        <f ca="1">-IF(-'P&amp;L_Forecast'!N123&gt;=0,-'P&amp;L_Forecast'!N123,0)</f>
        <v>0</v>
      </c>
      <c r="O31" s="260">
        <f ca="1">-IF(-'P&amp;L_Forecast'!O123&gt;=0,-'P&amp;L_Forecast'!O123,0)</f>
        <v>-162.95686951105245</v>
      </c>
      <c r="P31" s="260">
        <f ca="1">-IF(-'P&amp;L_Forecast'!P123&gt;=0,-'P&amp;L_Forecast'!P123,0)</f>
        <v>0</v>
      </c>
      <c r="Q31" s="260">
        <f ca="1">-IF(-'P&amp;L_Forecast'!Q123&gt;=0,-'P&amp;L_Forecast'!Q123,0)</f>
        <v>0</v>
      </c>
      <c r="R31" s="260">
        <f ca="1">-IF(-'P&amp;L_Forecast'!R123&gt;=0,-'P&amp;L_Forecast'!R123,0)</f>
        <v>0</v>
      </c>
      <c r="S31" s="260">
        <f ca="1">-IF(-'P&amp;L_Forecast'!S123&gt;=0,-'P&amp;L_Forecast'!S123,0)</f>
        <v>0</v>
      </c>
      <c r="T31" s="260">
        <f ca="1">-IF(-'P&amp;L_Forecast'!T123&gt;=0,-'P&amp;L_Forecast'!T123,0)</f>
        <v>0</v>
      </c>
      <c r="U31" s="260">
        <f ca="1">-IF(-'P&amp;L_Forecast'!U123&gt;=0,-'P&amp;L_Forecast'!U123,0)</f>
        <v>-339.92191716563963</v>
      </c>
      <c r="V31" s="260">
        <f ca="1">-IF(-'P&amp;L_Forecast'!V123&gt;=0,-'P&amp;L_Forecast'!V123,0)</f>
        <v>0</v>
      </c>
      <c r="X31" s="207">
        <f ca="1">SUM(_xlfn.XLOOKUP($X$7,$I$7:W$7,$I31:W31):_xlfn.XLOOKUP($X$8,$I$7:W$7,$I31:W31))</f>
        <v>-1294.0237429016959</v>
      </c>
      <c r="Y31" s="206"/>
    </row>
    <row r="32" spans="2:25" ht="3" customHeight="1" x14ac:dyDescent="0.35">
      <c r="F32" s="288"/>
      <c r="G32" s="288"/>
      <c r="H32" s="288"/>
      <c r="I32" s="288"/>
      <c r="J32" s="261" t="s">
        <v>12</v>
      </c>
      <c r="K32" s="261" t="s">
        <v>12</v>
      </c>
      <c r="L32" s="261" t="s">
        <v>12</v>
      </c>
      <c r="M32" s="261" t="s">
        <v>12</v>
      </c>
      <c r="N32" s="261" t="s">
        <v>12</v>
      </c>
      <c r="O32" s="261" t="s">
        <v>12</v>
      </c>
      <c r="P32" s="261" t="s">
        <v>12</v>
      </c>
      <c r="Q32" s="261" t="s">
        <v>12</v>
      </c>
      <c r="R32" s="261" t="s">
        <v>12</v>
      </c>
      <c r="S32" s="261" t="s">
        <v>12</v>
      </c>
      <c r="T32" s="261" t="s">
        <v>12</v>
      </c>
      <c r="U32" s="261" t="s">
        <v>12</v>
      </c>
      <c r="V32" s="261" t="s">
        <v>12</v>
      </c>
      <c r="W32" s="8"/>
      <c r="X32" s="208" t="s">
        <v>12</v>
      </c>
      <c r="Y32" s="206"/>
    </row>
    <row r="33" spans="2:25" ht="14.25" customHeight="1" x14ac:dyDescent="0.2">
      <c r="B33" s="255" t="s">
        <v>361</v>
      </c>
      <c r="F33" s="285"/>
      <c r="G33" s="285"/>
      <c r="H33" s="285"/>
      <c r="I33" s="285"/>
      <c r="J33" s="260">
        <f t="shared" ref="J33:U33" ca="1" si="9">SUM(J30:J32)</f>
        <v>0</v>
      </c>
      <c r="K33" s="260">
        <f t="shared" ca="1" si="9"/>
        <v>-80</v>
      </c>
      <c r="L33" s="260">
        <f t="shared" ca="1" si="9"/>
        <v>-936.14495622500374</v>
      </c>
      <c r="M33" s="260">
        <f t="shared" ca="1" si="9"/>
        <v>-600</v>
      </c>
      <c r="N33" s="260">
        <f t="shared" ca="1" si="9"/>
        <v>0</v>
      </c>
      <c r="O33" s="260">
        <f t="shared" ca="1" si="9"/>
        <v>-522.95686951105245</v>
      </c>
      <c r="P33" s="260">
        <f t="shared" ca="1" si="9"/>
        <v>0</v>
      </c>
      <c r="Q33" s="260">
        <f t="shared" ca="1" si="9"/>
        <v>0</v>
      </c>
      <c r="R33" s="260">
        <f t="shared" ca="1" si="9"/>
        <v>0</v>
      </c>
      <c r="S33" s="260">
        <f t="shared" ca="1" si="9"/>
        <v>0</v>
      </c>
      <c r="T33" s="260">
        <f t="shared" ca="1" si="9"/>
        <v>0</v>
      </c>
      <c r="U33" s="260">
        <f t="shared" ca="1" si="9"/>
        <v>-339.92191716563963</v>
      </c>
      <c r="V33" s="260">
        <f t="shared" ref="V33" ca="1" si="10">SUM(V30:V32)</f>
        <v>0</v>
      </c>
      <c r="W33" s="4">
        <f t="shared" ref="W33" si="11">SUM(W30:W32)</f>
        <v>0</v>
      </c>
      <c r="X33" s="207">
        <f ca="1">SUM(_xlfn.XLOOKUP($X$7,$I$7:W$7,$I33:W33):_xlfn.XLOOKUP($X$8,$I$7:W$7,$I33:W33))</f>
        <v>-2479.0237429016956</v>
      </c>
      <c r="Y33" s="206"/>
    </row>
    <row r="34" spans="2:25" ht="15" customHeight="1" x14ac:dyDescent="0.35">
      <c r="F34" s="288"/>
      <c r="G34" s="288"/>
      <c r="H34" s="288"/>
      <c r="I34" s="288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8"/>
      <c r="X34" s="208"/>
      <c r="Y34" s="206"/>
    </row>
    <row r="35" spans="2:25" ht="3" customHeight="1" x14ac:dyDescent="0.35">
      <c r="F35" s="288"/>
      <c r="G35" s="288"/>
      <c r="H35" s="288"/>
      <c r="I35" s="288"/>
      <c r="J35" s="261" t="s">
        <v>12</v>
      </c>
      <c r="K35" s="261" t="s">
        <v>12</v>
      </c>
      <c r="L35" s="261" t="s">
        <v>12</v>
      </c>
      <c r="M35" s="261" t="s">
        <v>12</v>
      </c>
      <c r="N35" s="261" t="s">
        <v>12</v>
      </c>
      <c r="O35" s="261" t="s">
        <v>12</v>
      </c>
      <c r="P35" s="261" t="s">
        <v>12</v>
      </c>
      <c r="Q35" s="261" t="s">
        <v>12</v>
      </c>
      <c r="R35" s="261" t="s">
        <v>12</v>
      </c>
      <c r="S35" s="261" t="s">
        <v>12</v>
      </c>
      <c r="T35" s="261" t="s">
        <v>12</v>
      </c>
      <c r="U35" s="261" t="s">
        <v>12</v>
      </c>
      <c r="V35" s="261" t="s">
        <v>12</v>
      </c>
      <c r="W35" s="8"/>
      <c r="X35" s="208" t="s">
        <v>12</v>
      </c>
      <c r="Y35" s="206"/>
    </row>
    <row r="36" spans="2:25" s="1" customFormat="1" ht="14.25" customHeight="1" x14ac:dyDescent="0.2">
      <c r="B36" s="256" t="s">
        <v>412</v>
      </c>
      <c r="F36" s="289"/>
      <c r="G36" s="289"/>
      <c r="H36" s="289"/>
      <c r="I36" s="289"/>
      <c r="J36" s="282">
        <f t="shared" ref="J36:U36" ca="1" si="12">J25+J33</f>
        <v>1164.9858208993201</v>
      </c>
      <c r="K36" s="282">
        <f t="shared" ca="1" si="12"/>
        <v>-2606.9812838969538</v>
      </c>
      <c r="L36" s="282">
        <f t="shared" ca="1" si="12"/>
        <v>-597.2895488889809</v>
      </c>
      <c r="M36" s="282">
        <f t="shared" ca="1" si="12"/>
        <v>3706.761914291571</v>
      </c>
      <c r="N36" s="282">
        <f t="shared" ca="1" si="12"/>
        <v>-860.31105035104088</v>
      </c>
      <c r="O36" s="282">
        <f t="shared" ca="1" si="12"/>
        <v>477.79849648520701</v>
      </c>
      <c r="P36" s="282">
        <f t="shared" ca="1" si="12"/>
        <v>437.24264148004386</v>
      </c>
      <c r="Q36" s="282">
        <f t="shared" ca="1" si="12"/>
        <v>-39.873179843528192</v>
      </c>
      <c r="R36" s="282">
        <f t="shared" ca="1" si="12"/>
        <v>-53.826260293093128</v>
      </c>
      <c r="S36" s="282">
        <f t="shared" ca="1" si="12"/>
        <v>-513.48260197570119</v>
      </c>
      <c r="T36" s="282">
        <f t="shared" ca="1" si="12"/>
        <v>-90.543906791565632</v>
      </c>
      <c r="U36" s="282">
        <f t="shared" ca="1" si="12"/>
        <v>-990.68542282818044</v>
      </c>
      <c r="V36" s="282">
        <f t="shared" ref="V36" ca="1" si="13">V25+V33</f>
        <v>-470.20129347215766</v>
      </c>
      <c r="X36" s="209">
        <f ca="1">SUM(_xlfn.XLOOKUP($X$7,$I$7:W$7,$I36:W36):_xlfn.XLOOKUP($X$8,$I$7:W$7,$I36:W36))</f>
        <v>-436.40567518505986</v>
      </c>
      <c r="Y36" s="254"/>
    </row>
    <row r="37" spans="2:25" ht="15" customHeight="1" x14ac:dyDescent="0.35">
      <c r="B37" s="26"/>
      <c r="F37" s="290"/>
      <c r="G37" s="290"/>
      <c r="H37" s="290"/>
      <c r="I37" s="290"/>
      <c r="J37" s="259"/>
      <c r="K37" s="259"/>
      <c r="L37" s="259"/>
      <c r="M37" s="259"/>
      <c r="N37" s="259"/>
      <c r="O37" s="259"/>
      <c r="P37" s="259"/>
      <c r="Q37" s="259"/>
      <c r="R37" s="259"/>
      <c r="S37" s="259"/>
      <c r="T37" s="259"/>
      <c r="U37" s="259"/>
      <c r="V37" s="259"/>
      <c r="X37" s="210"/>
      <c r="Y37" s="206"/>
    </row>
    <row r="38" spans="2:25" ht="14.25" customHeight="1" x14ac:dyDescent="0.2">
      <c r="B38" s="16" t="s">
        <v>413</v>
      </c>
      <c r="F38" s="287"/>
      <c r="G38" s="287"/>
      <c r="H38" s="287"/>
      <c r="I38" s="287"/>
      <c r="J38" s="260">
        <f>(Debt_Service!$C$7*(Debt_Service!$C$9=Cash_Flow_Forecast!J$7)) / Currency_Denominator</f>
        <v>1185</v>
      </c>
      <c r="K38" s="260">
        <f>(Debt_Service!$C$7*(Debt_Service!$C$9=Cash_Flow_Forecast!K$7)) / Currency_Denominator</f>
        <v>0</v>
      </c>
      <c r="L38" s="260">
        <f>(Debt_Service!$C$7*(Debt_Service!$C$9=Cash_Flow_Forecast!L$7)) / Currency_Denominator</f>
        <v>0</v>
      </c>
      <c r="M38" s="260">
        <f>(Debt_Service!$C$7*(Debt_Service!$C$9=Cash_Flow_Forecast!M$7)) / Currency_Denominator</f>
        <v>0</v>
      </c>
      <c r="N38" s="260">
        <f>(Debt_Service!$C$7*(Debt_Service!$C$9=Cash_Flow_Forecast!N$7)) / Currency_Denominator</f>
        <v>0</v>
      </c>
      <c r="O38" s="260">
        <f>(Debt_Service!$C$7*(Debt_Service!$C$9=Cash_Flow_Forecast!O$7)) / Currency_Denominator</f>
        <v>0</v>
      </c>
      <c r="P38" s="260">
        <f>(Debt_Service!$C$7*(Debt_Service!$C$9=Cash_Flow_Forecast!P$7)) / Currency_Denominator</f>
        <v>0</v>
      </c>
      <c r="Q38" s="260">
        <f>(Debt_Service!$C$7*(Debt_Service!$C$9=Cash_Flow_Forecast!Q$7)) / Currency_Denominator</f>
        <v>0</v>
      </c>
      <c r="R38" s="260">
        <f>(Debt_Service!$C$7*(Debt_Service!$C$9=Cash_Flow_Forecast!R$7)) / Currency_Denominator</f>
        <v>0</v>
      </c>
      <c r="S38" s="260">
        <f>(Debt_Service!$C$7*(Debt_Service!$C$9=Cash_Flow_Forecast!S$7)) / Currency_Denominator</f>
        <v>0</v>
      </c>
      <c r="T38" s="260">
        <f>(Debt_Service!$C$7*(Debt_Service!$C$9=Cash_Flow_Forecast!T$7)) / Currency_Denominator</f>
        <v>0</v>
      </c>
      <c r="U38" s="260">
        <f>(Debt_Service!$C$7*(Debt_Service!$C$9=Cash_Flow_Forecast!U$7)) / Currency_Denominator</f>
        <v>0</v>
      </c>
      <c r="V38" s="260">
        <f>(Debt_Service!$C$7*(Debt_Service!$C$9=Cash_Flow_Forecast!V$7)) / Currency_Denominator</f>
        <v>0</v>
      </c>
      <c r="X38" s="207">
        <f>SUM(_xlfn.XLOOKUP($X$7,$I$7:W$7,$I38:W38):_xlfn.XLOOKUP($X$8,$I$7:W$7,$I38:W38))</f>
        <v>1185</v>
      </c>
      <c r="Y38" s="206"/>
    </row>
    <row r="39" spans="2:25" ht="14.25" customHeight="1" x14ac:dyDescent="0.2">
      <c r="B39" s="16" t="s">
        <v>414</v>
      </c>
      <c r="F39" s="287"/>
      <c r="G39" s="287"/>
      <c r="H39" s="287"/>
      <c r="I39" s="287"/>
      <c r="J39" s="260">
        <f>_xlfn.XLOOKUP(J$7,Debt_Service!$F$7:$F$42,Debt_Service!$K$7:$K$42) / Currency_Denominator</f>
        <v>0</v>
      </c>
      <c r="K39" s="260">
        <f>_xlfn.XLOOKUP(K$7,Debt_Service!$F$7:$F$42,Debt_Service!$K$7:$K$42) / Currency_Denominator</f>
        <v>0</v>
      </c>
      <c r="L39" s="260">
        <f>_xlfn.XLOOKUP(L$7,Debt_Service!$F$7:$F$42,Debt_Service!$K$7:$K$42) / Currency_Denominator</f>
        <v>-92.116795238731086</v>
      </c>
      <c r="M39" s="260">
        <f>_xlfn.XLOOKUP(M$7,Debt_Service!$F$7:$F$42,Debt_Service!$K$7:$K$42) / Currency_Denominator</f>
        <v>0</v>
      </c>
      <c r="N39" s="260">
        <f>_xlfn.XLOOKUP(N$7,Debt_Service!$F$7:$F$42,Debt_Service!$K$7:$K$42) / Currency_Denominator</f>
        <v>0</v>
      </c>
      <c r="O39" s="260">
        <f>_xlfn.XLOOKUP(O$7,Debt_Service!$F$7:$F$42,Debt_Service!$K$7:$K$42) / Currency_Denominator</f>
        <v>-93.273059592508559</v>
      </c>
      <c r="P39" s="260">
        <f>_xlfn.XLOOKUP(P$7,Debt_Service!$F$7:$F$42,Debt_Service!$K$7:$K$42) / Currency_Denominator</f>
        <v>0</v>
      </c>
      <c r="Q39" s="260">
        <f>_xlfn.XLOOKUP(Q$7,Debt_Service!$F$7:$F$42,Debt_Service!$K$7:$K$42) / Currency_Denominator</f>
        <v>0</v>
      </c>
      <c r="R39" s="260">
        <f>_xlfn.XLOOKUP(R$7,Debt_Service!$F$7:$F$42,Debt_Service!$K$7:$K$42) / Currency_Denominator</f>
        <v>-94.443837556451825</v>
      </c>
      <c r="S39" s="260">
        <f>_xlfn.XLOOKUP(S$7,Debt_Service!$F$7:$F$42,Debt_Service!$K$7:$K$42) / Currency_Denominator</f>
        <v>0</v>
      </c>
      <c r="T39" s="260">
        <f>_xlfn.XLOOKUP(T$7,Debt_Service!$F$7:$F$42,Debt_Service!$K$7:$K$42) / Currency_Denominator</f>
        <v>0</v>
      </c>
      <c r="U39" s="260">
        <f>_xlfn.XLOOKUP(U$7,Debt_Service!$F$7:$F$42,Debt_Service!$K$7:$K$42) / Currency_Denominator</f>
        <v>-95.62931130765503</v>
      </c>
      <c r="V39" s="260">
        <f>_xlfn.XLOOKUP(V$7,Debt_Service!$F$7:$F$42,Debt_Service!$K$7:$K$42) / Currency_Denominator</f>
        <v>0</v>
      </c>
      <c r="X39" s="207">
        <f>SUM(_xlfn.XLOOKUP($X$7,$I$7:W$7,$I39:W39):_xlfn.XLOOKUP($X$8,$I$7:W$7,$I39:W39))</f>
        <v>-375.46300369534652</v>
      </c>
      <c r="Y39" s="206"/>
    </row>
    <row r="40" spans="2:25" ht="14.25" customHeight="1" x14ac:dyDescent="0.2">
      <c r="B40" s="16" t="s">
        <v>415</v>
      </c>
      <c r="F40" s="287"/>
      <c r="G40" s="287"/>
      <c r="H40" s="287"/>
      <c r="I40" s="287"/>
      <c r="J40" s="260">
        <f>_xlfn.XLOOKUP(J$7,Debt_Service!$F$7:$F$42,Debt_Service!$O$7:$O$42) / Currency_Denominator</f>
        <v>0</v>
      </c>
      <c r="K40" s="260">
        <f>_xlfn.XLOOKUP(K$7,Debt_Service!$F$7:$F$42,Debt_Service!$O$7:$O$42) / Currency_Denominator</f>
        <v>0</v>
      </c>
      <c r="L40" s="260">
        <f>_xlfn.XLOOKUP(L$7,Debt_Service!$F$7:$F$42,Debt_Service!$O$7:$O$42) / Currency_Denominator</f>
        <v>-14.429743968354696</v>
      </c>
      <c r="M40" s="260">
        <f>_xlfn.XLOOKUP(M$7,Debt_Service!$F$7:$F$42,Debt_Service!$O$7:$O$42) / Currency_Denominator</f>
        <v>0</v>
      </c>
      <c r="N40" s="260">
        <f>_xlfn.XLOOKUP(N$7,Debt_Service!$F$7:$F$42,Debt_Service!$O$7:$O$42) / Currency_Denominator</f>
        <v>0</v>
      </c>
      <c r="O40" s="260">
        <f>_xlfn.XLOOKUP(O$7,Debt_Service!$F$7:$F$42,Debt_Service!$O$7:$O$42) / Currency_Denominator</f>
        <v>-13.273479614577218</v>
      </c>
      <c r="P40" s="260">
        <f>_xlfn.XLOOKUP(P$7,Debt_Service!$F$7:$F$42,Debt_Service!$O$7:$O$42) / Currency_Denominator</f>
        <v>0</v>
      </c>
      <c r="Q40" s="260">
        <f>_xlfn.XLOOKUP(Q$7,Debt_Service!$F$7:$F$42,Debt_Service!$O$7:$O$42) / Currency_Denominator</f>
        <v>0</v>
      </c>
      <c r="R40" s="260">
        <f>_xlfn.XLOOKUP(R$7,Debt_Service!$F$7:$F$42,Debt_Service!$O$7:$O$42) / Currency_Denominator</f>
        <v>-12.102701650633955</v>
      </c>
      <c r="S40" s="260">
        <f>_xlfn.XLOOKUP(S$7,Debt_Service!$F$7:$F$42,Debt_Service!$O$7:$O$42) / Currency_Denominator</f>
        <v>0</v>
      </c>
      <c r="T40" s="260">
        <f>_xlfn.XLOOKUP(T$7,Debt_Service!$F$7:$F$42,Debt_Service!$O$7:$O$42) / Currency_Denominator</f>
        <v>0</v>
      </c>
      <c r="U40" s="260">
        <f>_xlfn.XLOOKUP(U$7,Debt_Service!$F$7:$F$42,Debt_Service!$O$7:$O$42) / Currency_Denominator</f>
        <v>-10.917227899430753</v>
      </c>
      <c r="V40" s="260">
        <f>_xlfn.XLOOKUP(V$7,Debt_Service!$F$7:$F$42,Debt_Service!$O$7:$O$42) / Currency_Denominator</f>
        <v>0</v>
      </c>
      <c r="X40" s="207">
        <f>SUM(_xlfn.XLOOKUP($X$7,$I$7:W$7,$I40:W40):_xlfn.XLOOKUP($X$8,$I$7:W$7,$I40:W40))</f>
        <v>-50.723153132996615</v>
      </c>
      <c r="Y40" s="206"/>
    </row>
    <row r="41" spans="2:25" ht="14.25" customHeight="1" x14ac:dyDescent="0.2">
      <c r="B41" s="204"/>
      <c r="F41" s="287"/>
      <c r="G41" s="287"/>
      <c r="H41" s="287"/>
      <c r="I41" s="287"/>
      <c r="J41" s="260"/>
      <c r="K41" s="260"/>
      <c r="L41" s="260"/>
      <c r="M41" s="260"/>
      <c r="N41" s="260"/>
      <c r="O41" s="260"/>
      <c r="P41" s="260"/>
      <c r="Q41" s="260"/>
      <c r="R41" s="260"/>
      <c r="S41" s="260"/>
      <c r="T41" s="260"/>
      <c r="U41" s="260"/>
      <c r="V41" s="260"/>
      <c r="X41" s="206"/>
      <c r="Y41" s="206"/>
    </row>
    <row r="42" spans="2:25" ht="3" customHeight="1" x14ac:dyDescent="0.35">
      <c r="F42" s="287"/>
      <c r="G42" s="287"/>
      <c r="H42" s="287"/>
      <c r="I42" s="287"/>
      <c r="J42" s="261" t="s">
        <v>12</v>
      </c>
      <c r="K42" s="261" t="s">
        <v>12</v>
      </c>
      <c r="L42" s="261" t="s">
        <v>12</v>
      </c>
      <c r="M42" s="261" t="s">
        <v>12</v>
      </c>
      <c r="N42" s="261" t="s">
        <v>12</v>
      </c>
      <c r="O42" s="261" t="s">
        <v>12</v>
      </c>
      <c r="P42" s="261" t="s">
        <v>12</v>
      </c>
      <c r="Q42" s="261" t="s">
        <v>12</v>
      </c>
      <c r="R42" s="261" t="s">
        <v>12</v>
      </c>
      <c r="S42" s="261" t="s">
        <v>12</v>
      </c>
      <c r="T42" s="261" t="s">
        <v>12</v>
      </c>
      <c r="U42" s="261" t="s">
        <v>12</v>
      </c>
      <c r="V42" s="261" t="s">
        <v>12</v>
      </c>
      <c r="W42" s="8"/>
      <c r="X42" s="208" t="s">
        <v>12</v>
      </c>
      <c r="Y42" s="206"/>
    </row>
    <row r="43" spans="2:25" s="1" customFormat="1" ht="12" customHeight="1" x14ac:dyDescent="0.2">
      <c r="B43" s="256" t="s">
        <v>355</v>
      </c>
      <c r="F43" s="287"/>
      <c r="G43" s="287"/>
      <c r="H43" s="287"/>
      <c r="I43" s="287"/>
      <c r="J43" s="282">
        <f t="shared" ref="J43:U43" ca="1" si="14">J36+SUM(J38:J42)</f>
        <v>2349.9858208993201</v>
      </c>
      <c r="K43" s="9">
        <f t="shared" ca="1" si="14"/>
        <v>-2606.9812838969538</v>
      </c>
      <c r="L43" s="9">
        <f t="shared" ca="1" si="14"/>
        <v>-703.83608809606665</v>
      </c>
      <c r="M43" s="9">
        <f t="shared" ca="1" si="14"/>
        <v>3706.761914291571</v>
      </c>
      <c r="N43" s="9">
        <f t="shared" ca="1" si="14"/>
        <v>-860.31105035104088</v>
      </c>
      <c r="O43" s="9">
        <f t="shared" ca="1" si="14"/>
        <v>371.25195727812127</v>
      </c>
      <c r="P43" s="9">
        <f t="shared" ca="1" si="14"/>
        <v>437.24264148004386</v>
      </c>
      <c r="Q43" s="9">
        <f t="shared" ca="1" si="14"/>
        <v>-39.873179843528192</v>
      </c>
      <c r="R43" s="9">
        <f t="shared" ca="1" si="14"/>
        <v>-160.37279950017893</v>
      </c>
      <c r="S43" s="9">
        <f t="shared" ca="1" si="14"/>
        <v>-513.48260197570119</v>
      </c>
      <c r="T43" s="9">
        <f t="shared" ca="1" si="14"/>
        <v>-90.543906791565632</v>
      </c>
      <c r="U43" s="9">
        <f t="shared" ca="1" si="14"/>
        <v>-1097.2319620352662</v>
      </c>
      <c r="V43" s="9">
        <f t="shared" ref="V43" ca="1" si="15">V36+SUM(V38:V42)</f>
        <v>-470.20129347215766</v>
      </c>
      <c r="X43" s="209">
        <f ca="1">SUM(_xlfn.XLOOKUP($X$7,$I$7:W$7,$I43:W43):_xlfn.XLOOKUP($X$8,$I$7:W$7,$I43:W43))</f>
        <v>322.40816798659694</v>
      </c>
      <c r="Y43" s="206"/>
    </row>
    <row r="44" spans="2:25" ht="3" customHeight="1" x14ac:dyDescent="0.35">
      <c r="B44" s="26"/>
      <c r="F44" s="290"/>
      <c r="G44" s="290"/>
      <c r="H44" s="290"/>
      <c r="I44" s="290"/>
      <c r="J44" s="259" t="s">
        <v>12</v>
      </c>
      <c r="K44" s="259" t="s">
        <v>12</v>
      </c>
      <c r="L44" s="259" t="s">
        <v>12</v>
      </c>
      <c r="M44" s="259" t="s">
        <v>12</v>
      </c>
      <c r="N44" s="259" t="s">
        <v>12</v>
      </c>
      <c r="O44" s="259" t="s">
        <v>12</v>
      </c>
      <c r="P44" s="259" t="s">
        <v>12</v>
      </c>
      <c r="Q44" s="259" t="s">
        <v>12</v>
      </c>
      <c r="R44" s="259" t="s">
        <v>12</v>
      </c>
      <c r="S44" s="259" t="s">
        <v>12</v>
      </c>
      <c r="T44" s="259" t="s">
        <v>12</v>
      </c>
      <c r="U44" s="259" t="s">
        <v>12</v>
      </c>
      <c r="V44" s="259" t="s">
        <v>12</v>
      </c>
      <c r="X44" s="210" t="s">
        <v>12</v>
      </c>
      <c r="Y44" s="206"/>
    </row>
    <row r="49" spans="13:13" ht="14.25" customHeight="1" x14ac:dyDescent="0.2">
      <c r="M49" s="8"/>
    </row>
  </sheetData>
  <dataValidations count="1">
    <dataValidation type="list" allowBlank="1" showInputMessage="1" showErrorMessage="1" sqref="X7:X8" xr:uid="{9A3EF27A-6FFC-4F7F-8595-15E9987614F1}">
      <formula1>$I$7:$W$7</formula1>
    </dataValidation>
  </dataValidations>
  <pageMargins left="0.7" right="0.7" top="0.75" bottom="0.75" header="0.3" footer="0.3"/>
  <cellWatches>
    <cellWatch r="X14"/>
    <cellWatch r="X19"/>
    <cellWatch r="X43"/>
  </cellWatch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52336-2309-4CD8-9C8F-1D02BAB8E409}">
  <sheetPr codeName="Sheet4">
    <tabColor theme="9" tint="0.39997558519241921"/>
  </sheetPr>
  <dimension ref="A1:AP170"/>
  <sheetViews>
    <sheetView showGridLines="0" zoomScale="75" zoomScaleNormal="75" workbookViewId="0">
      <pane xSplit="8" ySplit="8" topLeftCell="I9" activePane="bottomRight" state="frozen"/>
      <selection pane="topRight" activeCell="I1" sqref="I1"/>
      <selection pane="bottomLeft" activeCell="A10" sqref="A10"/>
      <selection pane="bottomRight" activeCell="X10" sqref="X10:X12"/>
    </sheetView>
  </sheetViews>
  <sheetFormatPr defaultColWidth="9.140625" defaultRowHeight="14.25" customHeight="1" outlineLevelCol="1" x14ac:dyDescent="0.2"/>
  <cols>
    <col min="1" max="1" width="1.42578125" style="4" customWidth="1"/>
    <col min="2" max="2" width="39.5703125" style="4" customWidth="1"/>
    <col min="3" max="3" width="1.42578125" style="4" customWidth="1" outlineLevel="1"/>
    <col min="4" max="4" width="12.28515625" style="4" customWidth="1" outlineLevel="1"/>
    <col min="5" max="5" width="1.42578125" style="4" customWidth="1" outlineLevel="1"/>
    <col min="6" max="9" width="9.28515625" style="4" customWidth="1" outlineLevel="1"/>
    <col min="10" max="22" width="9.28515625" style="4" customWidth="1"/>
    <col min="23" max="23" width="1.140625" style="4" customWidth="1"/>
    <col min="24" max="24" width="10.140625" style="4" customWidth="1"/>
    <col min="25" max="25" width="9.42578125" style="4" bestFit="1" customWidth="1"/>
    <col min="26" max="16384" width="9.140625" style="4"/>
  </cols>
  <sheetData>
    <row r="1" spans="1:42" ht="18" customHeight="1" x14ac:dyDescent="0.3">
      <c r="B1" s="17" t="str" cm="1">
        <f t="array" ref="B1">Company_Name</f>
        <v>Pinnacle Supplier DBA Candy Confection</v>
      </c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  <c r="W1" s="48"/>
      <c r="X1" s="48"/>
    </row>
    <row r="2" spans="1:42" ht="18" customHeight="1" x14ac:dyDescent="0.25">
      <c r="B2" s="115" t="s">
        <v>354</v>
      </c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</row>
    <row r="3" spans="1:42" ht="18" customHeight="1" x14ac:dyDescent="0.2">
      <c r="B3" s="4" t="str">
        <f>Currency_Disclaimer</f>
        <v>All figures in 1000s of USD (unless otherwise noted)</v>
      </c>
      <c r="I3" s="135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</row>
    <row r="4" spans="1:42" s="57" customFormat="1" ht="18" customHeight="1" x14ac:dyDescent="0.25">
      <c r="A4" s="70"/>
      <c r="B4" s="70"/>
      <c r="C4" s="70"/>
      <c r="D4" s="70"/>
      <c r="E4" s="70"/>
      <c r="F4" s="70"/>
      <c r="G4" s="70"/>
      <c r="H4" s="70"/>
      <c r="I4" s="70"/>
      <c r="J4" s="114"/>
      <c r="K4" s="114"/>
      <c r="L4" s="114"/>
      <c r="M4" s="114"/>
      <c r="N4" s="114"/>
      <c r="O4" s="114"/>
      <c r="P4" s="114"/>
      <c r="Q4" s="114"/>
      <c r="R4" s="114"/>
      <c r="S4" s="114"/>
      <c r="T4" s="114"/>
      <c r="U4" s="114"/>
      <c r="V4" s="114"/>
      <c r="W4" s="114"/>
      <c r="X4" s="114"/>
    </row>
    <row r="5" spans="1:42" s="1" customFormat="1" ht="0.75" hidden="1" customHeight="1" x14ac:dyDescent="0.2">
      <c r="F5" s="2" cm="1">
        <f t="array" ref="F5:W5">_xlfn.SEQUENCE(1,COUNT(7:7),-COUNTIF($8:$8,"Act"),1)</f>
        <v>-3</v>
      </c>
      <c r="G5" s="2">
        <v>-2</v>
      </c>
      <c r="H5" s="2">
        <v>-1</v>
      </c>
      <c r="I5" s="2">
        <v>0</v>
      </c>
      <c r="J5" s="2">
        <v>1</v>
      </c>
      <c r="K5" s="2">
        <v>2</v>
      </c>
      <c r="L5" s="2">
        <v>3</v>
      </c>
      <c r="M5" s="2">
        <v>4</v>
      </c>
      <c r="N5" s="2">
        <v>5</v>
      </c>
      <c r="O5" s="2">
        <v>6</v>
      </c>
      <c r="P5" s="2">
        <v>7</v>
      </c>
      <c r="Q5" s="2">
        <v>8</v>
      </c>
      <c r="R5" s="2">
        <v>9</v>
      </c>
      <c r="S5" s="2">
        <v>10</v>
      </c>
      <c r="T5" s="2">
        <v>11</v>
      </c>
      <c r="U5" s="2">
        <v>12</v>
      </c>
      <c r="V5" s="2">
        <v>13</v>
      </c>
      <c r="W5" s="1">
        <v>14</v>
      </c>
    </row>
    <row r="6" spans="1:42" s="1" customFormat="1" ht="14.25" customHeight="1" x14ac:dyDescent="0.2">
      <c r="A6" s="31"/>
      <c r="B6" s="31" t="s">
        <v>9</v>
      </c>
      <c r="C6" s="31"/>
      <c r="D6" s="31"/>
      <c r="E6" s="31"/>
      <c r="F6" s="32">
        <v>-3</v>
      </c>
      <c r="G6" s="32">
        <v>-2</v>
      </c>
      <c r="H6" s="32">
        <v>-1</v>
      </c>
      <c r="I6" s="136">
        <v>0</v>
      </c>
      <c r="J6" s="32">
        <f t="shared" ref="J6:T6" si="0">I6+1</f>
        <v>1</v>
      </c>
      <c r="K6" s="32">
        <f t="shared" si="0"/>
        <v>2</v>
      </c>
      <c r="L6" s="32">
        <f t="shared" si="0"/>
        <v>3</v>
      </c>
      <c r="M6" s="32">
        <f t="shared" si="0"/>
        <v>4</v>
      </c>
      <c r="N6" s="32">
        <f t="shared" si="0"/>
        <v>5</v>
      </c>
      <c r="O6" s="32">
        <f t="shared" si="0"/>
        <v>6</v>
      </c>
      <c r="P6" s="32">
        <f t="shared" si="0"/>
        <v>7</v>
      </c>
      <c r="Q6" s="32">
        <f t="shared" si="0"/>
        <v>8</v>
      </c>
      <c r="R6" s="32">
        <f t="shared" si="0"/>
        <v>9</v>
      </c>
      <c r="S6" s="32">
        <f t="shared" si="0"/>
        <v>10</v>
      </c>
      <c r="T6" s="32">
        <f t="shared" si="0"/>
        <v>11</v>
      </c>
      <c r="U6" s="32">
        <f>T6+1</f>
        <v>12</v>
      </c>
      <c r="V6" s="32">
        <f>U6+1</f>
        <v>13</v>
      </c>
      <c r="W6" s="31"/>
      <c r="X6" s="32" t="str">
        <f>(DAYS360(X7,X8)/30)+1&amp;"-mos"</f>
        <v>13-mos</v>
      </c>
    </row>
    <row r="7" spans="1:42" s="1" customFormat="1" ht="14.25" customHeight="1" x14ac:dyDescent="0.2">
      <c r="A7" s="31"/>
      <c r="B7" s="31" t="s">
        <v>11</v>
      </c>
      <c r="C7" s="31"/>
      <c r="D7" s="31"/>
      <c r="E7" s="31"/>
      <c r="F7" s="33">
        <v>45565</v>
      </c>
      <c r="G7" s="33">
        <v>45596</v>
      </c>
      <c r="H7" s="33">
        <v>45626</v>
      </c>
      <c r="I7" s="137">
        <v>45657</v>
      </c>
      <c r="J7" s="33">
        <f>EOMONTH($I$7,COLUMNS($I7:J7)-1)</f>
        <v>45688</v>
      </c>
      <c r="K7" s="33">
        <f>EOMONTH($I$7,COLUMNS($I7:K7)-1)</f>
        <v>45716</v>
      </c>
      <c r="L7" s="33">
        <f>EOMONTH($I$7,COLUMNS($I7:L7)-1)</f>
        <v>45747</v>
      </c>
      <c r="M7" s="33">
        <f>EOMONTH($I$7,COLUMNS($I7:M7)-1)</f>
        <v>45777</v>
      </c>
      <c r="N7" s="33">
        <f>EOMONTH($I$7,COLUMNS($I7:N7)-1)</f>
        <v>45808</v>
      </c>
      <c r="O7" s="33">
        <f>EOMONTH($I$7,COLUMNS($I7:O7)-1)</f>
        <v>45838</v>
      </c>
      <c r="P7" s="33">
        <f>EOMONTH($I$7,COLUMNS($I7:P7)-1)</f>
        <v>45869</v>
      </c>
      <c r="Q7" s="33">
        <f>EOMONTH($I$7,COLUMNS($I7:Q7)-1)</f>
        <v>45900</v>
      </c>
      <c r="R7" s="33">
        <f>EOMONTH($I$7,COLUMNS($I7:R7)-1)</f>
        <v>45930</v>
      </c>
      <c r="S7" s="33">
        <f>EOMONTH($I$7,COLUMNS($I7:S7)-1)</f>
        <v>45961</v>
      </c>
      <c r="T7" s="33">
        <f>EOMONTH($I$7,COLUMNS($I7:T7)-1)</f>
        <v>45991</v>
      </c>
      <c r="U7" s="33">
        <f>EOMONTH($I$7,COLUMNS($I7:U7)-1)</f>
        <v>46022</v>
      </c>
      <c r="V7" s="33">
        <f>EOMONTH($I$7,COLUMNS($I7:V7)-1)</f>
        <v>46053</v>
      </c>
      <c r="W7" s="31"/>
      <c r="X7" s="34">
        <v>45688</v>
      </c>
    </row>
    <row r="8" spans="1:42" s="1" customFormat="1" ht="14.25" customHeight="1" x14ac:dyDescent="0.2">
      <c r="A8" s="35"/>
      <c r="B8" s="35" t="s">
        <v>8</v>
      </c>
      <c r="C8" s="35"/>
      <c r="D8" s="36" t="s">
        <v>260</v>
      </c>
      <c r="E8" s="35"/>
      <c r="F8" s="36" t="s">
        <v>7</v>
      </c>
      <c r="G8" s="36" t="s">
        <v>7</v>
      </c>
      <c r="H8" s="36" t="s">
        <v>7</v>
      </c>
      <c r="I8" s="138" t="s">
        <v>302</v>
      </c>
      <c r="J8" s="36" t="s">
        <v>6</v>
      </c>
      <c r="K8" s="36" t="s">
        <v>6</v>
      </c>
      <c r="L8" s="36" t="s">
        <v>6</v>
      </c>
      <c r="M8" s="36" t="s">
        <v>6</v>
      </c>
      <c r="N8" s="36" t="s">
        <v>6</v>
      </c>
      <c r="O8" s="36" t="s">
        <v>6</v>
      </c>
      <c r="P8" s="36" t="s">
        <v>6</v>
      </c>
      <c r="Q8" s="36" t="s">
        <v>6</v>
      </c>
      <c r="R8" s="36" t="s">
        <v>6</v>
      </c>
      <c r="S8" s="36" t="s">
        <v>6</v>
      </c>
      <c r="T8" s="36" t="s">
        <v>6</v>
      </c>
      <c r="U8" s="36" t="s">
        <v>6</v>
      </c>
      <c r="V8" s="36" t="s">
        <v>6</v>
      </c>
      <c r="W8" s="35"/>
      <c r="X8" s="37">
        <v>46053</v>
      </c>
    </row>
    <row r="9" spans="1:42" ht="14.25" customHeight="1" x14ac:dyDescent="0.2">
      <c r="H9" s="5"/>
      <c r="I9" s="139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spans="1:42" ht="14.25" customHeight="1" x14ac:dyDescent="0.2">
      <c r="B10" s="4" t="s">
        <v>112</v>
      </c>
      <c r="D10" s="30" t="s">
        <v>149</v>
      </c>
      <c r="F10" s="8">
        <v>648</v>
      </c>
      <c r="G10" s="8">
        <v>717</v>
      </c>
      <c r="H10" s="8">
        <v>889</v>
      </c>
      <c r="I10" s="140">
        <v>1212.78</v>
      </c>
      <c r="J10" s="8">
        <f>SUMIFS(sales_forecast_tbl[Jan-25],sales_forecast_tbl[Toggle],TRUE,sales_forecast_tbl[Category],'P&amp;L_Forecast'!$B10) / Currency_Denominator * (1 + Price_Increase)</f>
        <v>2490.9797000000003</v>
      </c>
      <c r="K10" s="8">
        <f>SUMIFS(sales_forecast_tbl[Feb-25],sales_forecast_tbl[Toggle],TRUE,sales_forecast_tbl[Category],'P&amp;L_Forecast'!$B10) / Currency_Denominator * (1 + Price_Increase)</f>
        <v>3777.8741000000005</v>
      </c>
      <c r="L10" s="8">
        <f>SUMIFS(sales_forecast_tbl[Mar-25],sales_forecast_tbl[Toggle],TRUE,sales_forecast_tbl[Category],'P&amp;L_Forecast'!$B10) / Currency_Denominator * (1 + Price_Increase)</f>
        <v>383.86810000000003</v>
      </c>
      <c r="M10" s="8">
        <f>SUMIFS(sales_forecast_tbl[Apr-25],sales_forecast_tbl[Toggle],TRUE,sales_forecast_tbl[Category],'P&amp;L_Forecast'!$B10) / Currency_Denominator * (1 + Price_Increase)</f>
        <v>1080.8589000000002</v>
      </c>
      <c r="N10" s="8">
        <f>SUMIFS(sales_forecast_tbl[May-25],sales_forecast_tbl[Toggle],TRUE,sales_forecast_tbl[Category],'P&amp;L_Forecast'!$B10) / Currency_Denominator * (1 + Price_Increase)</f>
        <v>639.24300000000005</v>
      </c>
      <c r="O10" s="8">
        <f>SUMIFS(sales_forecast_tbl[Jun-25],sales_forecast_tbl[Toggle],TRUE,sales_forecast_tbl[Category],'P&amp;L_Forecast'!$B10) / Currency_Denominator * (1 + Price_Increase)</f>
        <v>401.995</v>
      </c>
      <c r="P10" s="8">
        <f>SUMIFS(sales_forecast_tbl[Jul-25],sales_forecast_tbl[Toggle],TRUE,sales_forecast_tbl[Category],'P&amp;L_Forecast'!$B10) / Currency_Denominator * (1 + Price_Increase)</f>
        <v>390.84100000000001</v>
      </c>
      <c r="Q10" s="8">
        <f>SUMIFS(sales_forecast_tbl[Aug-25],sales_forecast_tbl[Toggle],TRUE,sales_forecast_tbl[Category],'P&amp;L_Forecast'!$B10) / Currency_Denominator * (1 + Price_Increase)</f>
        <v>369.25570000000005</v>
      </c>
      <c r="R10" s="8">
        <f>SUMIFS(sales_forecast_tbl[Sep-25],sales_forecast_tbl[Toggle],TRUE,sales_forecast_tbl[Category],'P&amp;L_Forecast'!$B10) / Currency_Denominator * (1 + Price_Increase)</f>
        <v>892.02190000000007</v>
      </c>
      <c r="S10" s="8">
        <f>SUMIFS(sales_forecast_tbl[Oct-25],sales_forecast_tbl[Toggle],TRUE,sales_forecast_tbl[Category],'P&amp;L_Forecast'!$B10) / Currency_Denominator * (1 + Price_Increase)</f>
        <v>986.65600000000018</v>
      </c>
      <c r="T10" s="8">
        <f>SUMIFS(sales_forecast_tbl[Nov-25],sales_forecast_tbl[Toggle],TRUE,sales_forecast_tbl[Category],'P&amp;L_Forecast'!$B10) / Currency_Denominator * (1 + Price_Increase)</f>
        <v>1222.8150000000003</v>
      </c>
      <c r="U10" s="8">
        <f>SUMIFS(sales_forecast_tbl[Dec-25],sales_forecast_tbl[Toggle],TRUE,sales_forecast_tbl[Category],'P&amp;L_Forecast'!$B10) / Currency_Denominator * (1 + Price_Increase)</f>
        <v>1667.5725</v>
      </c>
      <c r="V10" s="8">
        <f>SUMIFS(sales_forecast_tbl[Jan-26],sales_forecast_tbl[Toggle],TRUE,sales_forecast_tbl[Category],'P&amp;L_Forecast'!$B10) / Currency_Denominator * (1 + Price_Increase)</f>
        <v>2676.1102780064803</v>
      </c>
      <c r="W10" s="8"/>
      <c r="X10" s="8">
        <f>SUM(_xlfn.XLOOKUP($X$7,$I$7:W$7,$I10:W10):_xlfn.XLOOKUP($X$8,$I$7:W$7,$I10:W10))</f>
        <v>16980.091178006482</v>
      </c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spans="1:42" s="1" customFormat="1" ht="14.25" customHeight="1" x14ac:dyDescent="0.2">
      <c r="B11" s="4" t="s">
        <v>113</v>
      </c>
      <c r="D11" s="30" t="s">
        <v>149</v>
      </c>
      <c r="F11" s="8">
        <v>111</v>
      </c>
      <c r="G11" s="8">
        <v>139</v>
      </c>
      <c r="H11" s="8">
        <v>220</v>
      </c>
      <c r="I11" s="140">
        <v>365</v>
      </c>
      <c r="J11" s="8">
        <f>SUMIFS(sales_forecast_tbl[Jan-25],sales_forecast_tbl[Toggle],TRUE,sales_forecast_tbl[Category],'P&amp;L_Forecast'!$B11) / Currency_Denominator * (1 + Price_Increase)</f>
        <v>648.94462425581071</v>
      </c>
      <c r="K11" s="8">
        <f>SUMIFS(sales_forecast_tbl[Feb-25],sales_forecast_tbl[Toggle],TRUE,sales_forecast_tbl[Category],'P&amp;L_Forecast'!$B11) / Currency_Denominator * (1 + Price_Increase)</f>
        <v>730.34457089252055</v>
      </c>
      <c r="L11" s="8">
        <f>SUMIFS(sales_forecast_tbl[Mar-25],sales_forecast_tbl[Toggle],TRUE,sales_forecast_tbl[Category],'P&amp;L_Forecast'!$B11) / Currency_Denominator * (1 + Price_Increase)</f>
        <v>157.09679007386779</v>
      </c>
      <c r="M11" s="8">
        <f>SUMIFS(sales_forecast_tbl[Apr-25],sales_forecast_tbl[Toggle],TRUE,sales_forecast_tbl[Category],'P&amp;L_Forecast'!$B11) / Currency_Denominator * (1 + Price_Increase)</f>
        <v>456.98390020792317</v>
      </c>
      <c r="N11" s="8">
        <f>SUMIFS(sales_forecast_tbl[May-25],sales_forecast_tbl[Toggle],TRUE,sales_forecast_tbl[Category],'P&amp;L_Forecast'!$B11) / Currency_Denominator * (1 + Price_Increase)</f>
        <v>275.71282317844197</v>
      </c>
      <c r="O11" s="8">
        <f>SUMIFS(sales_forecast_tbl[Jun-25],sales_forecast_tbl[Toggle],TRUE,sales_forecast_tbl[Category],'P&amp;L_Forecast'!$B11) / Currency_Denominator * (1 + Price_Increase)</f>
        <v>156.15600449651882</v>
      </c>
      <c r="P11" s="8">
        <f>SUMIFS(sales_forecast_tbl[Jul-25],sales_forecast_tbl[Toggle],TRUE,sales_forecast_tbl[Category],'P&amp;L_Forecast'!$B11) / Currency_Denominator * (1 + Price_Increase)</f>
        <v>153.35992027990554</v>
      </c>
      <c r="Q11" s="8">
        <f>SUMIFS(sales_forecast_tbl[Aug-25],sales_forecast_tbl[Toggle],TRUE,sales_forecast_tbl[Category],'P&amp;L_Forecast'!$B11) / Currency_Denominator * (1 + Price_Increase)</f>
        <v>115.10334206199749</v>
      </c>
      <c r="R11" s="8">
        <f>SUMIFS(sales_forecast_tbl[Sep-25],sales_forecast_tbl[Toggle],TRUE,sales_forecast_tbl[Category],'P&amp;L_Forecast'!$B11) / Currency_Denominator * (1 + Price_Increase)</f>
        <v>156.64233185242776</v>
      </c>
      <c r="S11" s="8">
        <f>SUMIFS(sales_forecast_tbl[Oct-25],sales_forecast_tbl[Toggle],TRUE,sales_forecast_tbl[Category],'P&amp;L_Forecast'!$B11) / Currency_Denominator * (1 + Price_Increase)</f>
        <v>196.40159528490622</v>
      </c>
      <c r="T11" s="8">
        <f>SUMIFS(sales_forecast_tbl[Nov-25],sales_forecast_tbl[Toggle],TRUE,sales_forecast_tbl[Category],'P&amp;L_Forecast'!$B11) / Currency_Denominator * (1 + Price_Increase)</f>
        <v>310.44160861108111</v>
      </c>
      <c r="U11" s="8">
        <f>SUMIFS(sales_forecast_tbl[Dec-25],sales_forecast_tbl[Toggle],TRUE,sales_forecast_tbl[Category],'P&amp;L_Forecast'!$B11) / Currency_Denominator * (1 + Price_Increase)</f>
        <v>515.89264484340436</v>
      </c>
      <c r="V11" s="8">
        <f>SUMIFS(sales_forecast_tbl[Jan-26],sales_forecast_tbl[Toggle],TRUE,sales_forecast_tbl[Category],'P&amp;L_Forecast'!$B11) / Currency_Denominator * (1 + Price_Increase)</f>
        <v>667.95341118826968</v>
      </c>
      <c r="W11" s="9"/>
      <c r="X11" s="8">
        <f>SUM(_xlfn.XLOOKUP($X$7,$I$7:W$7,$I11:W11):_xlfn.XLOOKUP($X$8,$I$7:W$7,$I11:W11))</f>
        <v>4541.0335672270749</v>
      </c>
      <c r="Y11" s="4"/>
      <c r="Z11" s="4"/>
      <c r="AA11" s="4"/>
    </row>
    <row r="12" spans="1:42" ht="14.25" customHeight="1" x14ac:dyDescent="0.2">
      <c r="B12" s="4" t="s">
        <v>114</v>
      </c>
      <c r="D12" s="30" t="s">
        <v>149</v>
      </c>
      <c r="F12" s="8">
        <v>280.375</v>
      </c>
      <c r="G12" s="8">
        <v>237.625</v>
      </c>
      <c r="H12" s="8">
        <v>387.875</v>
      </c>
      <c r="I12" s="140">
        <v>193.5</v>
      </c>
      <c r="J12" s="8">
        <f>SUMIFS(sales_forecast_tbl[Jan-25],sales_forecast_tbl[Toggle],TRUE,sales_forecast_tbl[Category],'P&amp;L_Forecast'!$B12) / Currency_Denominator * (1 + Price_Increase)</f>
        <v>661.08130303230723</v>
      </c>
      <c r="K12" s="8">
        <f>SUMIFS(sales_forecast_tbl[Feb-25],sales_forecast_tbl[Toggle],TRUE,sales_forecast_tbl[Category],'P&amp;L_Forecast'!$B12) / Currency_Denominator * (1 + Price_Increase)</f>
        <v>795.54065901534534</v>
      </c>
      <c r="L12" s="8">
        <f>SUMIFS(sales_forecast_tbl[Mar-25],sales_forecast_tbl[Toggle],TRUE,sales_forecast_tbl[Category],'P&amp;L_Forecast'!$B12) / Currency_Denominator * (1 + Price_Increase)</f>
        <v>149.2857640955213</v>
      </c>
      <c r="M12" s="8">
        <f>SUMIFS(sales_forecast_tbl[Apr-25],sales_forecast_tbl[Toggle],TRUE,sales_forecast_tbl[Category],'P&amp;L_Forecast'!$B12) / Currency_Denominator * (1 + Price_Increase)</f>
        <v>501.43075205979176</v>
      </c>
      <c r="N12" s="8">
        <f>SUMIFS(sales_forecast_tbl[May-25],sales_forecast_tbl[Toggle],TRUE,sales_forecast_tbl[Category],'P&amp;L_Forecast'!$B12) / Currency_Denominator * (1 + Price_Increase)</f>
        <v>277.18179087980963</v>
      </c>
      <c r="O12" s="8">
        <f>SUMIFS(sales_forecast_tbl[Jun-25],sales_forecast_tbl[Toggle],TRUE,sales_forecast_tbl[Category],'P&amp;L_Forecast'!$B12) / Currency_Denominator * (1 + Price_Increase)</f>
        <v>144.99340863558834</v>
      </c>
      <c r="P12" s="8">
        <f>SUMIFS(sales_forecast_tbl[Jul-25],sales_forecast_tbl[Toggle],TRUE,sales_forecast_tbl[Category],'P&amp;L_Forecast'!$B12) / Currency_Denominator * (1 + Price_Increase)</f>
        <v>165.70029596891123</v>
      </c>
      <c r="Q12" s="8">
        <f>SUMIFS(sales_forecast_tbl[Aug-25],sales_forecast_tbl[Toggle],TRUE,sales_forecast_tbl[Category],'P&amp;L_Forecast'!$B12) / Currency_Denominator * (1 + Price_Increase)</f>
        <v>114.38297225222618</v>
      </c>
      <c r="R12" s="8">
        <f>SUMIFS(sales_forecast_tbl[Sep-25],sales_forecast_tbl[Toggle],TRUE,sales_forecast_tbl[Category],'P&amp;L_Forecast'!$B12) / Currency_Denominator * (1 + Price_Increase)</f>
        <v>158.46242179354007</v>
      </c>
      <c r="S12" s="8">
        <f>SUMIFS(sales_forecast_tbl[Oct-25],sales_forecast_tbl[Toggle],TRUE,sales_forecast_tbl[Category],'P&amp;L_Forecast'!$B12) / Currency_Denominator * (1 + Price_Increase)</f>
        <v>196.30427703465739</v>
      </c>
      <c r="T12" s="8">
        <f>SUMIFS(sales_forecast_tbl[Nov-25],sales_forecast_tbl[Toggle],TRUE,sales_forecast_tbl[Category],'P&amp;L_Forecast'!$B12) / Currency_Denominator * (1 + Price_Increase)</f>
        <v>330.61067741108326</v>
      </c>
      <c r="U12" s="8">
        <f>SUMIFS(sales_forecast_tbl[Dec-25],sales_forecast_tbl[Toggle],TRUE,sales_forecast_tbl[Category],'P&amp;L_Forecast'!$B12) / Currency_Denominator * (1 + Price_Increase)</f>
        <v>535.77393938788327</v>
      </c>
      <c r="V12" s="8">
        <f>SUMIFS(sales_forecast_tbl[Jan-26],sales_forecast_tbl[Toggle],TRUE,sales_forecast_tbl[Category],'P&amp;L_Forecast'!$B12) / Currency_Denominator * (1 + Price_Increase)</f>
        <v>747.41912123489385</v>
      </c>
      <c r="W12" s="8"/>
      <c r="X12" s="8">
        <f>SUM(_xlfn.XLOOKUP($X$7,$I$7:W$7,$I12:W12):_xlfn.XLOOKUP($X$8,$I$7:W$7,$I12:W12))</f>
        <v>4778.1673828015591</v>
      </c>
    </row>
    <row r="13" spans="1:42" ht="14.25" customHeight="1" x14ac:dyDescent="0.35">
      <c r="F13" s="54" t="s">
        <v>12</v>
      </c>
      <c r="G13" s="54" t="s">
        <v>12</v>
      </c>
      <c r="H13" s="54" t="s">
        <v>12</v>
      </c>
      <c r="I13" s="141" t="s">
        <v>12</v>
      </c>
      <c r="J13" s="10" t="s">
        <v>12</v>
      </c>
      <c r="K13" s="10" t="s">
        <v>12</v>
      </c>
      <c r="L13" s="10" t="s">
        <v>12</v>
      </c>
      <c r="M13" s="10" t="s">
        <v>12</v>
      </c>
      <c r="N13" s="10" t="s">
        <v>12</v>
      </c>
      <c r="O13" s="10" t="s">
        <v>12</v>
      </c>
      <c r="P13" s="10" t="s">
        <v>12</v>
      </c>
      <c r="Q13" s="10" t="s">
        <v>12</v>
      </c>
      <c r="R13" s="10" t="s">
        <v>12</v>
      </c>
      <c r="S13" s="10" t="s">
        <v>12</v>
      </c>
      <c r="T13" s="10" t="s">
        <v>12</v>
      </c>
      <c r="U13" s="10" t="s">
        <v>12</v>
      </c>
      <c r="V13" s="10" t="s">
        <v>12</v>
      </c>
      <c r="W13" s="8"/>
      <c r="X13" s="10" t="s">
        <v>12</v>
      </c>
    </row>
    <row r="14" spans="1:42" s="1" customFormat="1" ht="14.25" customHeight="1" x14ac:dyDescent="0.2">
      <c r="B14" s="26" t="s">
        <v>3</v>
      </c>
      <c r="F14" s="47">
        <f>SUM(F10:F13)</f>
        <v>1039.375</v>
      </c>
      <c r="G14" s="47">
        <f>SUM(G10:G13)</f>
        <v>1093.625</v>
      </c>
      <c r="H14" s="47">
        <f>SUM(H10:H13)</f>
        <v>1496.875</v>
      </c>
      <c r="I14" s="142">
        <f t="shared" ref="I14:U14" si="1">SUM(I10:I13)</f>
        <v>1771.28</v>
      </c>
      <c r="J14" s="9">
        <f t="shared" si="1"/>
        <v>3801.0056272881184</v>
      </c>
      <c r="K14" s="9">
        <f t="shared" si="1"/>
        <v>5303.7593299078662</v>
      </c>
      <c r="L14" s="9">
        <f t="shared" si="1"/>
        <v>690.25065416938901</v>
      </c>
      <c r="M14" s="9">
        <f t="shared" si="1"/>
        <v>2039.2735522677151</v>
      </c>
      <c r="N14" s="9">
        <f t="shared" si="1"/>
        <v>1192.1376140582515</v>
      </c>
      <c r="O14" s="9">
        <f t="shared" si="1"/>
        <v>703.14441313210716</v>
      </c>
      <c r="P14" s="9">
        <f t="shared" si="1"/>
        <v>709.90121624881681</v>
      </c>
      <c r="Q14" s="9">
        <f t="shared" si="1"/>
        <v>598.74201431422375</v>
      </c>
      <c r="R14" s="9">
        <f t="shared" si="1"/>
        <v>1207.1266536459677</v>
      </c>
      <c r="S14" s="9">
        <f t="shared" si="1"/>
        <v>1379.3618723195639</v>
      </c>
      <c r="T14" s="9">
        <f t="shared" si="1"/>
        <v>1863.8672860221648</v>
      </c>
      <c r="U14" s="9">
        <f t="shared" si="1"/>
        <v>2719.2390842312875</v>
      </c>
      <c r="V14" s="9">
        <f t="shared" ref="V14" si="2">SUM(V10:V13)</f>
        <v>4091.4828104296435</v>
      </c>
      <c r="W14" s="9"/>
      <c r="X14" s="9">
        <f>SUM(_xlfn.XLOOKUP($X$7,$I$7:W$7,$I14:W14):_xlfn.XLOOKUP($X$8,$I$7:W$7,$I14:W14))</f>
        <v>26299.292128035115</v>
      </c>
      <c r="Y14" s="100"/>
    </row>
    <row r="15" spans="1:42" ht="14.25" customHeight="1" x14ac:dyDescent="0.2">
      <c r="F15" s="48"/>
      <c r="G15" s="48"/>
      <c r="H15" s="48"/>
      <c r="I15" s="143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spans="1:42" ht="14.25" customHeight="1" x14ac:dyDescent="0.2">
      <c r="B16" s="57" t="s">
        <v>244</v>
      </c>
      <c r="D16" s="30" t="s">
        <v>2</v>
      </c>
      <c r="F16" s="8">
        <v>333</v>
      </c>
      <c r="G16" s="8">
        <v>376</v>
      </c>
      <c r="H16" s="8">
        <v>541</v>
      </c>
      <c r="I16" s="140">
        <v>809</v>
      </c>
      <c r="J16" s="8">
        <f>_xlfn.XLOOKUP($B16,Cost_Expense_Fcst!$B$7:$B$9,Cost_Expense_Fcst!O$7:O$9)*J$14 / (1 + Price_Increase)</f>
        <v>1624.0660407503776</v>
      </c>
      <c r="K16" s="8">
        <f>_xlfn.XLOOKUP($B16,Cost_Expense_Fcst!$B$7:$B$9,Cost_Expense_Fcst!P$7:P$9)*K$14 / (1 + Price_Increase)</f>
        <v>2266.1517136879061</v>
      </c>
      <c r="L16" s="8">
        <f>_xlfn.XLOOKUP($B16,Cost_Expense_Fcst!$B$7:$B$9,Cost_Expense_Fcst!Q$7:Q$9)*L$14 / (1 + Price_Increase)</f>
        <v>294.92527950873887</v>
      </c>
      <c r="M16" s="8">
        <f>_xlfn.XLOOKUP($B16,Cost_Expense_Fcst!$B$7:$B$9,Cost_Expense_Fcst!R$7:R$9)*M$14 / (1 + Price_Increase)</f>
        <v>871.32597233256899</v>
      </c>
      <c r="N16" s="8">
        <f>_xlfn.XLOOKUP($B16,Cost_Expense_Fcst!$B$7:$B$9,Cost_Expense_Fcst!S$7:S$9)*N$14 / (1 + Price_Increase)</f>
        <v>509.36788964307101</v>
      </c>
      <c r="O16" s="8">
        <f>_xlfn.XLOOKUP($B16,Cost_Expense_Fcst!$B$7:$B$9,Cost_Expense_Fcst!T$7:T$9)*O$14 / (1 + Price_Increase)</f>
        <v>300.43443106553667</v>
      </c>
      <c r="P16" s="8">
        <f>_xlfn.XLOOKUP($B16,Cost_Expense_Fcst!$B$7:$B$9,Cost_Expense_Fcst!U$7:U$9)*P$14 / (1 + Price_Increase)</f>
        <v>303.32142876085805</v>
      </c>
      <c r="Q16" s="8">
        <f>_xlfn.XLOOKUP($B16,Cost_Expense_Fcst!$B$7:$B$9,Cost_Expense_Fcst!V$7:V$9)*Q$14 / (1 + Price_Increase)</f>
        <v>255.82613338880464</v>
      </c>
      <c r="R16" s="8">
        <f>_xlfn.XLOOKUP($B16,Cost_Expense_Fcst!$B$7:$B$9,Cost_Expense_Fcst!W$7:W$9)*R$14 / (1 + Price_Increase)</f>
        <v>515.77229746691341</v>
      </c>
      <c r="S16" s="8">
        <f>_xlfn.XLOOKUP($B16,Cost_Expense_Fcst!$B$7:$B$9,Cost_Expense_Fcst!X$7:X$9)*S$14 / (1 + Price_Increase)</f>
        <v>589.36370908199535</v>
      </c>
      <c r="T16" s="8">
        <f>_xlfn.XLOOKUP($B16,Cost_Expense_Fcst!$B$7:$B$9,Cost_Expense_Fcst!Y$7:Y$9)*T$14 / (1 + Price_Increase)</f>
        <v>796.37965857310667</v>
      </c>
      <c r="U16" s="8">
        <f>_xlfn.XLOOKUP($B16,Cost_Expense_Fcst!$B$7:$B$9,Cost_Expense_Fcst!Z$7:Z$9)*U$14 / (1 + Price_Increase)</f>
        <v>1161.8566996260954</v>
      </c>
      <c r="V16" s="8">
        <f>_xlfn.XLOOKUP($B16,Cost_Expense_Fcst!$B$7:$B$9,Cost_Expense_Fcst!AA$7:AA$9)*V$14 / (1 + Price_Increase)</f>
        <v>1748.1790190017564</v>
      </c>
      <c r="W16" s="8"/>
      <c r="X16" s="8">
        <f>SUM(_xlfn.XLOOKUP($X$7,$I$7:W$7,$I16:W16):_xlfn.XLOOKUP($X$8,$I$7:W$7,$I16:W16))</f>
        <v>11236.970272887731</v>
      </c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</row>
    <row r="17" spans="2:40" s="1" customFormat="1" ht="14.25" customHeight="1" x14ac:dyDescent="0.2">
      <c r="B17" s="57" t="s">
        <v>252</v>
      </c>
      <c r="D17" s="30" t="s">
        <v>347</v>
      </c>
      <c r="F17" s="8">
        <v>102</v>
      </c>
      <c r="G17" s="8">
        <v>115</v>
      </c>
      <c r="H17" s="8">
        <v>166</v>
      </c>
      <c r="I17" s="140">
        <v>249</v>
      </c>
      <c r="J17" s="8">
        <f>_xlfn.XLOOKUP($B17,Cost_Expense_Fcst!$B$7:$B$9,Cost_Expense_Fcst!O$7:O$9)*J$14 / (1 + Price_Increase)</f>
        <v>587.42814239907284</v>
      </c>
      <c r="K17" s="8">
        <f>_xlfn.XLOOKUP($B17,Cost_Expense_Fcst!$B$7:$B$9,Cost_Expense_Fcst!P$7:P$9)*K$14 / (1 + Price_Increase)</f>
        <v>819.67189644030657</v>
      </c>
      <c r="L17" s="8">
        <f>_xlfn.XLOOKUP($B17,Cost_Expense_Fcst!$B$7:$B$9,Cost_Expense_Fcst!Q$7:Q$9)*L$14 / (1 + Price_Increase)</f>
        <v>106.67510109890557</v>
      </c>
      <c r="M17" s="8">
        <f>_xlfn.XLOOKUP($B17,Cost_Expense_Fcst!$B$7:$B$9,Cost_Expense_Fcst!R$7:R$9)*M$14 / (1 + Price_Increase)</f>
        <v>315.16045807773776</v>
      </c>
      <c r="N17" s="8">
        <f>_xlfn.XLOOKUP($B17,Cost_Expense_Fcst!$B$7:$B$9,Cost_Expense_Fcst!S$7:S$9)*N$14 / (1 + Price_Increase)</f>
        <v>184.23944944536615</v>
      </c>
      <c r="O17" s="8">
        <f>_xlfn.XLOOKUP($B17,Cost_Expense_Fcst!$B$7:$B$9,Cost_Expense_Fcst!T$7:T$9)*O$14 / (1 + Price_Increase)</f>
        <v>108.66777293859838</v>
      </c>
      <c r="P17" s="8">
        <f>_xlfn.XLOOKUP($B17,Cost_Expense_Fcst!$B$7:$B$9,Cost_Expense_Fcst!U$7:U$9)*P$14 / (1 + Price_Increase)</f>
        <v>109.71200614754441</v>
      </c>
      <c r="Q17" s="8">
        <f>_xlfn.XLOOKUP($B17,Cost_Expense_Fcst!$B$7:$B$9,Cost_Expense_Fcst!V$7:V$9)*Q$14 / (1 + Price_Increase)</f>
        <v>92.532856757652766</v>
      </c>
      <c r="R17" s="8">
        <f>_xlfn.XLOOKUP($B17,Cost_Expense_Fcst!$B$7:$B$9,Cost_Expense_Fcst!W$7:W$9)*R$14 / (1 + Price_Increase)</f>
        <v>186.55593738164956</v>
      </c>
      <c r="S17" s="8">
        <f>_xlfn.XLOOKUP($B17,Cost_Expense_Fcst!$B$7:$B$9,Cost_Expense_Fcst!X$7:X$9)*S$14 / (1 + Price_Increase)</f>
        <v>213.17410754029623</v>
      </c>
      <c r="T17" s="8">
        <f>_xlfn.XLOOKUP($B17,Cost_Expense_Fcst!$B$7:$B$9,Cost_Expense_Fcst!Y$7:Y$9)*T$14 / (1 + Price_Increase)</f>
        <v>288.05221693069819</v>
      </c>
      <c r="U17" s="8">
        <f>_xlfn.XLOOKUP($B17,Cost_Expense_Fcst!$B$7:$B$9,Cost_Expense_Fcst!Z$7:Z$9)*U$14 / (1 + Price_Increase)</f>
        <v>420.2460402902899</v>
      </c>
      <c r="V17" s="8">
        <f>_xlfn.XLOOKUP($B17,Cost_Expense_Fcst!$B$7:$B$9,Cost_Expense_Fcst!AA$7:AA$9)*V$14 / (1 + Price_Increase)</f>
        <v>632.32007070276302</v>
      </c>
      <c r="W17" s="9"/>
      <c r="X17" s="8">
        <f>SUM(_xlfn.XLOOKUP($X$7,$I$7:W$7,$I17:W17):_xlfn.XLOOKUP($X$8,$I$7:W$7,$I17:W17))</f>
        <v>4064.4360561508811</v>
      </c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</row>
    <row r="18" spans="2:40" ht="14.25" customHeight="1" x14ac:dyDescent="0.2">
      <c r="B18" s="57" t="s">
        <v>253</v>
      </c>
      <c r="D18" s="30" t="s">
        <v>2</v>
      </c>
      <c r="F18" s="8">
        <v>77</v>
      </c>
      <c r="G18" s="8">
        <v>86</v>
      </c>
      <c r="H18" s="8">
        <v>125</v>
      </c>
      <c r="I18" s="140">
        <v>186</v>
      </c>
      <c r="J18" s="8">
        <f>_xlfn.XLOOKUP($B18,Cost_Expense_Fcst!$B$7:$B$9,Cost_Expense_Fcst!O$7:O$9)*J$14 / (1 + Price_Increase)</f>
        <v>345.54596611710167</v>
      </c>
      <c r="K18" s="8">
        <f>_xlfn.XLOOKUP($B18,Cost_Expense_Fcst!$B$7:$B$9,Cost_Expense_Fcst!P$7:P$9)*K$14 / (1 + Price_Increase)</f>
        <v>482.15993908253324</v>
      </c>
      <c r="L18" s="8">
        <f>_xlfn.XLOOKUP($B18,Cost_Expense_Fcst!$B$7:$B$9,Cost_Expense_Fcst!Q$7:Q$9)*L$14 / (1 + Price_Increase)</f>
        <v>62.750059469944453</v>
      </c>
      <c r="M18" s="8">
        <f>_xlfn.XLOOKUP($B18,Cost_Expense_Fcst!$B$7:$B$9,Cost_Expense_Fcst!R$7:R$9)*M$14 / (1 + Price_Increase)</f>
        <v>185.38850475161044</v>
      </c>
      <c r="N18" s="8">
        <f>_xlfn.XLOOKUP($B18,Cost_Expense_Fcst!$B$7:$B$9,Cost_Expense_Fcst!S$7:S$9)*N$14 / (1 + Price_Increase)</f>
        <v>108.37614673256832</v>
      </c>
      <c r="O18" s="8">
        <f>_xlfn.XLOOKUP($B18,Cost_Expense_Fcst!$B$7:$B$9,Cost_Expense_Fcst!T$7:T$9)*O$14 / (1 + Price_Increase)</f>
        <v>63.922219375646108</v>
      </c>
      <c r="P18" s="8">
        <f>_xlfn.XLOOKUP($B18,Cost_Expense_Fcst!$B$7:$B$9,Cost_Expense_Fcst!U$7:U$9)*P$14 / (1 + Price_Increase)</f>
        <v>64.53647420443788</v>
      </c>
      <c r="Q18" s="8">
        <f>_xlfn.XLOOKUP($B18,Cost_Expense_Fcst!$B$7:$B$9,Cost_Expense_Fcst!V$7:V$9)*Q$14 / (1 + Price_Increase)</f>
        <v>54.431092210383973</v>
      </c>
      <c r="R18" s="8">
        <f>_xlfn.XLOOKUP($B18,Cost_Expense_Fcst!$B$7:$B$9,Cost_Expense_Fcst!W$7:W$9)*R$14 / (1 + Price_Increase)</f>
        <v>109.73878669508797</v>
      </c>
      <c r="S18" s="8">
        <f>_xlfn.XLOOKUP($B18,Cost_Expense_Fcst!$B$7:$B$9,Cost_Expense_Fcst!X$7:X$9)*S$14 / (1 + Price_Increase)</f>
        <v>125.39653384723306</v>
      </c>
      <c r="T18" s="8">
        <f>_xlfn.XLOOKUP($B18,Cost_Expense_Fcst!$B$7:$B$9,Cost_Expense_Fcst!Y$7:Y$9)*T$14 / (1 + Price_Increase)</f>
        <v>169.44248054746953</v>
      </c>
      <c r="U18" s="8">
        <f>_xlfn.XLOOKUP($B18,Cost_Expense_Fcst!$B$7:$B$9,Cost_Expense_Fcst!Z$7:Z$9)*U$14 / (1 + Price_Increase)</f>
        <v>247.20355311193521</v>
      </c>
      <c r="V18" s="8">
        <f>_xlfn.XLOOKUP($B18,Cost_Expense_Fcst!$B$7:$B$9,Cost_Expense_Fcst!AA$7:AA$9)*V$14 / (1 + Price_Increase)</f>
        <v>371.95298276633122</v>
      </c>
      <c r="W18" s="8"/>
      <c r="X18" s="8">
        <f>SUM(_xlfn.XLOOKUP($X$7,$I$7:W$7,$I18:W18):_xlfn.XLOOKUP($X$8,$I$7:W$7,$I18:W18))</f>
        <v>2390.844738912283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</row>
    <row r="19" spans="2:40" ht="14.25" customHeight="1" x14ac:dyDescent="0.35">
      <c r="F19" s="10" t="s">
        <v>12</v>
      </c>
      <c r="G19" s="10" t="s">
        <v>12</v>
      </c>
      <c r="H19" s="10" t="s">
        <v>12</v>
      </c>
      <c r="I19" s="144" t="s">
        <v>12</v>
      </c>
      <c r="J19" s="10" t="s">
        <v>12</v>
      </c>
      <c r="K19" s="10" t="s">
        <v>12</v>
      </c>
      <c r="L19" s="10" t="s">
        <v>12</v>
      </c>
      <c r="M19" s="10" t="s">
        <v>12</v>
      </c>
      <c r="N19" s="10" t="s">
        <v>12</v>
      </c>
      <c r="O19" s="10" t="s">
        <v>12</v>
      </c>
      <c r="P19" s="10" t="s">
        <v>12</v>
      </c>
      <c r="Q19" s="10" t="s">
        <v>12</v>
      </c>
      <c r="R19" s="10" t="s">
        <v>12</v>
      </c>
      <c r="S19" s="10" t="s">
        <v>12</v>
      </c>
      <c r="T19" s="10" t="s">
        <v>12</v>
      </c>
      <c r="U19" s="10" t="s">
        <v>12</v>
      </c>
      <c r="V19" s="10" t="s">
        <v>12</v>
      </c>
      <c r="W19" s="8"/>
      <c r="X19" s="10" t="s">
        <v>12</v>
      </c>
    </row>
    <row r="20" spans="2:40" s="1" customFormat="1" ht="14.25" customHeight="1" x14ac:dyDescent="0.2">
      <c r="B20" s="26" t="s">
        <v>4</v>
      </c>
      <c r="F20" s="9">
        <f>SUM(F16:F19)</f>
        <v>512</v>
      </c>
      <c r="G20" s="9">
        <f>SUM(G16:G19)</f>
        <v>577</v>
      </c>
      <c r="H20" s="9">
        <f>SUM(H16:H19)</f>
        <v>832</v>
      </c>
      <c r="I20" s="145">
        <f t="shared" ref="I20" si="3">SUM(I16:I19)</f>
        <v>1244</v>
      </c>
      <c r="J20" s="9">
        <f t="shared" ref="J20" si="4">SUM(J16:J19)</f>
        <v>2557.0401492665524</v>
      </c>
      <c r="K20" s="9">
        <f t="shared" ref="K20" si="5">SUM(K16:K19)</f>
        <v>3567.9835492107459</v>
      </c>
      <c r="L20" s="9">
        <f t="shared" ref="L20" si="6">SUM(L16:L19)</f>
        <v>464.35044007758887</v>
      </c>
      <c r="M20" s="9">
        <f t="shared" ref="M20" si="7">SUM(M16:M19)</f>
        <v>1371.8749351619172</v>
      </c>
      <c r="N20" s="9">
        <f t="shared" ref="N20" si="8">SUM(N16:N19)</f>
        <v>801.98348582100539</v>
      </c>
      <c r="O20" s="9">
        <f t="shared" ref="O20" si="9">SUM(O16:O19)</f>
        <v>473.02442337978118</v>
      </c>
      <c r="P20" s="9">
        <f t="shared" ref="P20" si="10">SUM(P16:P19)</f>
        <v>477.56990911284032</v>
      </c>
      <c r="Q20" s="9">
        <f t="shared" ref="Q20" si="11">SUM(Q16:Q19)</f>
        <v>402.79008235684137</v>
      </c>
      <c r="R20" s="9">
        <f t="shared" ref="R20" si="12">SUM(R16:R19)</f>
        <v>812.06702154365087</v>
      </c>
      <c r="S20" s="9">
        <f t="shared" ref="S20" si="13">SUM(S16:S19)</f>
        <v>927.93435046952459</v>
      </c>
      <c r="T20" s="9">
        <f t="shared" ref="T20" si="14">SUM(T16:T19)</f>
        <v>1253.8743560512744</v>
      </c>
      <c r="U20" s="9">
        <f t="shared" ref="U20:V20" si="15">SUM(U16:U19)</f>
        <v>1829.3062930283206</v>
      </c>
      <c r="V20" s="9">
        <f t="shared" si="15"/>
        <v>2752.4520724708509</v>
      </c>
      <c r="W20" s="9"/>
      <c r="X20" s="9">
        <f>SUM(_xlfn.XLOOKUP($X$7,$I$7:W$7,$I20:W20):_xlfn.XLOOKUP($X$8,$I$7:W$7,$I20:W20))</f>
        <v>17692.251067950896</v>
      </c>
    </row>
    <row r="21" spans="2:40" ht="14.25" customHeight="1" x14ac:dyDescent="0.35">
      <c r="F21" s="10" t="s">
        <v>12</v>
      </c>
      <c r="G21" s="10" t="s">
        <v>12</v>
      </c>
      <c r="H21" s="10" t="s">
        <v>12</v>
      </c>
      <c r="I21" s="144" t="s">
        <v>12</v>
      </c>
      <c r="J21" s="10" t="s">
        <v>12</v>
      </c>
      <c r="K21" s="10" t="s">
        <v>12</v>
      </c>
      <c r="L21" s="10" t="s">
        <v>12</v>
      </c>
      <c r="M21" s="10" t="s">
        <v>12</v>
      </c>
      <c r="N21" s="10" t="s">
        <v>12</v>
      </c>
      <c r="O21" s="10" t="s">
        <v>12</v>
      </c>
      <c r="P21" s="10" t="s">
        <v>12</v>
      </c>
      <c r="Q21" s="10" t="s">
        <v>12</v>
      </c>
      <c r="R21" s="10" t="s">
        <v>12</v>
      </c>
      <c r="S21" s="10" t="s">
        <v>12</v>
      </c>
      <c r="T21" s="10" t="s">
        <v>12</v>
      </c>
      <c r="U21" s="10" t="s">
        <v>12</v>
      </c>
      <c r="V21" s="10" t="s">
        <v>12</v>
      </c>
      <c r="W21" s="8"/>
      <c r="X21" s="10" t="s">
        <v>12</v>
      </c>
    </row>
    <row r="22" spans="2:40" s="1" customFormat="1" ht="14.25" customHeight="1" x14ac:dyDescent="0.2">
      <c r="B22" s="26" t="s">
        <v>5</v>
      </c>
      <c r="F22" s="9">
        <f>F14-F20</f>
        <v>527.375</v>
      </c>
      <c r="G22" s="9">
        <f>G14-G20</f>
        <v>516.625</v>
      </c>
      <c r="H22" s="9">
        <f>H14-H20</f>
        <v>664.875</v>
      </c>
      <c r="I22" s="145">
        <f t="shared" ref="I22:U22" si="16">I14-I20</f>
        <v>527.28</v>
      </c>
      <c r="J22" s="9">
        <f t="shared" si="16"/>
        <v>1243.965478021566</v>
      </c>
      <c r="K22" s="9">
        <f t="shared" si="16"/>
        <v>1735.7757806971204</v>
      </c>
      <c r="L22" s="9">
        <f t="shared" si="16"/>
        <v>225.90021409180014</v>
      </c>
      <c r="M22" s="9">
        <f t="shared" si="16"/>
        <v>667.39861710579794</v>
      </c>
      <c r="N22" s="9">
        <f t="shared" si="16"/>
        <v>390.15412823724614</v>
      </c>
      <c r="O22" s="9">
        <f t="shared" si="16"/>
        <v>230.11998975232598</v>
      </c>
      <c r="P22" s="9">
        <f t="shared" si="16"/>
        <v>232.33130713597649</v>
      </c>
      <c r="Q22" s="9">
        <f t="shared" si="16"/>
        <v>195.95193195738239</v>
      </c>
      <c r="R22" s="9">
        <f t="shared" si="16"/>
        <v>395.05963210231687</v>
      </c>
      <c r="S22" s="9">
        <f t="shared" si="16"/>
        <v>451.42752185003928</v>
      </c>
      <c r="T22" s="9">
        <f t="shared" si="16"/>
        <v>609.99292997089037</v>
      </c>
      <c r="U22" s="9">
        <f t="shared" si="16"/>
        <v>889.93279120296688</v>
      </c>
      <c r="V22" s="9">
        <f t="shared" ref="V22" si="17">V14-V20</f>
        <v>1339.0307379587925</v>
      </c>
      <c r="W22" s="9"/>
      <c r="X22" s="9">
        <f>SUM(_xlfn.XLOOKUP($X$7,$I$7:W$7,$I22:W22):_xlfn.XLOOKUP($X$8,$I$7:W$7,$I22:W22))</f>
        <v>8607.0410600842188</v>
      </c>
    </row>
    <row r="23" spans="2:40" s="96" customFormat="1" ht="14.25" customHeight="1" x14ac:dyDescent="0.2">
      <c r="B23" s="95" t="s">
        <v>382</v>
      </c>
      <c r="F23" s="97">
        <f>F22/F$14</f>
        <v>0.50739627179795554</v>
      </c>
      <c r="G23" s="97">
        <f t="shared" ref="G23:X23" si="18">G22/G$14</f>
        <v>0.4723968453537547</v>
      </c>
      <c r="H23" s="97">
        <f t="shared" si="18"/>
        <v>0.44417536534446767</v>
      </c>
      <c r="I23" s="146">
        <f t="shared" si="18"/>
        <v>0.29768303148005959</v>
      </c>
      <c r="J23" s="97">
        <f t="shared" si="18"/>
        <v>0.32727272727272727</v>
      </c>
      <c r="K23" s="97">
        <f t="shared" si="18"/>
        <v>0.32727272727272738</v>
      </c>
      <c r="L23" s="97">
        <f t="shared" si="18"/>
        <v>0.32727272727272744</v>
      </c>
      <c r="M23" s="97">
        <f t="shared" si="18"/>
        <v>0.32727272727272738</v>
      </c>
      <c r="N23" s="97">
        <f t="shared" si="18"/>
        <v>0.32727272727272744</v>
      </c>
      <c r="O23" s="97">
        <f t="shared" si="18"/>
        <v>0.32727272727272727</v>
      </c>
      <c r="P23" s="97">
        <f t="shared" si="18"/>
        <v>0.32727272727272738</v>
      </c>
      <c r="Q23" s="97">
        <f t="shared" si="18"/>
        <v>0.32727272727272738</v>
      </c>
      <c r="R23" s="97">
        <f t="shared" si="18"/>
        <v>0.32727272727272738</v>
      </c>
      <c r="S23" s="97">
        <f t="shared" si="18"/>
        <v>0.32727272727272744</v>
      </c>
      <c r="T23" s="97">
        <f t="shared" si="18"/>
        <v>0.32727272727272733</v>
      </c>
      <c r="U23" s="97">
        <f t="shared" si="18"/>
        <v>0.32727272727272727</v>
      </c>
      <c r="V23" s="97">
        <f t="shared" ref="V23" si="19">V22/V$14</f>
        <v>0.32727272727272733</v>
      </c>
      <c r="W23" s="98"/>
      <c r="X23" s="97">
        <f t="shared" si="18"/>
        <v>0.32727272727272727</v>
      </c>
    </row>
    <row r="24" spans="2:40" ht="14.25" customHeight="1" x14ac:dyDescent="0.2">
      <c r="B24" s="1"/>
      <c r="C24" s="1"/>
      <c r="I24" s="147"/>
    </row>
    <row r="25" spans="2:40" ht="14.25" customHeight="1" x14ac:dyDescent="0.2">
      <c r="B25" s="4" t="s">
        <v>61</v>
      </c>
      <c r="C25" s="1"/>
      <c r="D25" s="30" t="s">
        <v>76</v>
      </c>
      <c r="F25" s="8">
        <v>90.34</v>
      </c>
      <c r="G25" s="8">
        <v>90.34</v>
      </c>
      <c r="H25" s="8">
        <v>90.34</v>
      </c>
      <c r="I25" s="140">
        <v>90.34</v>
      </c>
      <c r="J25" s="8">
        <f>SUM(INDEX(payroll_schedule_tbl[[1/31/2025]:[12/31/2025]], 0, MATCH(TEXT('P&amp;L_Forecast'!J7, "m/d/yyyy"), payroll_schedule_tbl[[#Headers],[1/31/2025]:[12/31/2025]], 0))) / Currency_Denominator</f>
        <v>173.91</v>
      </c>
      <c r="K25" s="8">
        <f>SUM(INDEX(payroll_schedule_tbl[[1/31/2025]:[12/31/2025]], 0, MATCH(TEXT('P&amp;L_Forecast'!K7, "m/d/yyyy"), payroll_schedule_tbl[[#Headers],[1/31/2025]:[12/31/2025]], 0))) / Currency_Denominator</f>
        <v>173.91</v>
      </c>
      <c r="L25" s="8">
        <f>SUM(INDEX(payroll_schedule_tbl[[1/31/2025]:[12/31/2025]], 0, MATCH(TEXT('P&amp;L_Forecast'!L7, "m/d/yyyy"), payroll_schedule_tbl[[#Headers],[1/31/2025]:[12/31/2025]], 0))) / Currency_Denominator</f>
        <v>173.91</v>
      </c>
      <c r="M25" s="8">
        <f>SUM(INDEX(payroll_schedule_tbl[[1/31/2025]:[12/31/2025]], 0, MATCH(TEXT('P&amp;L_Forecast'!M7, "m/d/yyyy"), payroll_schedule_tbl[[#Headers],[1/31/2025]:[12/31/2025]], 0))) / Currency_Denominator</f>
        <v>178.86</v>
      </c>
      <c r="N25" s="8">
        <f>SUM(INDEX(payroll_schedule_tbl[[1/31/2025]:[12/31/2025]], 0, MATCH(TEXT('P&amp;L_Forecast'!N7, "m/d/yyyy"), payroll_schedule_tbl[[#Headers],[1/31/2025]:[12/31/2025]], 0))) / Currency_Denominator</f>
        <v>182.57249999999999</v>
      </c>
      <c r="O25" s="8">
        <f>SUM(INDEX(payroll_schedule_tbl[[1/31/2025]:[12/31/2025]], 0, MATCH(TEXT('P&amp;L_Forecast'!O7, "m/d/yyyy"), payroll_schedule_tbl[[#Headers],[1/31/2025]:[12/31/2025]], 0))) / Currency_Denominator</f>
        <v>197.42250000000001</v>
      </c>
      <c r="P25" s="8">
        <f>SUM(INDEX(payroll_schedule_tbl[[1/31/2025]:[12/31/2025]], 0, MATCH(TEXT('P&amp;L_Forecast'!P7, "m/d/yyyy"), payroll_schedule_tbl[[#Headers],[1/31/2025]:[12/31/2025]], 0))) / Currency_Denominator</f>
        <v>200.7225</v>
      </c>
      <c r="Q25" s="8">
        <f>SUM(INDEX(payroll_schedule_tbl[[1/31/2025]:[12/31/2025]], 0, MATCH(TEXT('P&amp;L_Forecast'!Q7, "m/d/yyyy"), payroll_schedule_tbl[[#Headers],[1/31/2025]:[12/31/2025]], 0))) / Currency_Denominator</f>
        <v>211.86</v>
      </c>
      <c r="R25" s="8">
        <f>SUM(INDEX(payroll_schedule_tbl[[1/31/2025]:[12/31/2025]], 0, MATCH(TEXT('P&amp;L_Forecast'!R7, "m/d/yyyy"), payroll_schedule_tbl[[#Headers],[1/31/2025]:[12/31/2025]], 0))) / Currency_Denominator</f>
        <v>211.86</v>
      </c>
      <c r="S25" s="8">
        <f>SUM(INDEX(payroll_schedule_tbl[[1/31/2025]:[12/31/2025]], 0, MATCH(TEXT('P&amp;L_Forecast'!S7, "m/d/yyyy"), payroll_schedule_tbl[[#Headers],[1/31/2025]:[12/31/2025]], 0))) / Currency_Denominator</f>
        <v>209.79750000000001</v>
      </c>
      <c r="T25" s="8">
        <f>SUM(INDEX(payroll_schedule_tbl[[1/31/2025]:[12/31/2025]], 0, MATCH(TEXT('P&amp;L_Forecast'!T7, "m/d/yyyy"), payroll_schedule_tbl[[#Headers],[1/31/2025]:[12/31/2025]], 0))) / Currency_Denominator</f>
        <v>209.79750000000001</v>
      </c>
      <c r="U25" s="8">
        <f>SUM(INDEX(payroll_schedule_tbl[[1/31/2025]:[12/31/2025]], 0, MATCH(TEXT('P&amp;L_Forecast'!U7, "m/d/yyyy"), payroll_schedule_tbl[[#Headers],[1/31/2025]:[12/31/2025]], 0))) / Currency_Denominator</f>
        <v>209.79750000000001</v>
      </c>
      <c r="V25" s="8">
        <f>SUM(INDEX(payroll_schedule_tbl[[1/31/2025]:[1/31/2026]], 0, MATCH(TEXT('P&amp;L_Forecast'!V7, "m/d/yyyy"), payroll_schedule_tbl[[#Headers],[1/31/2025]:[1/31/2026]], 0))) / Currency_Denominator</f>
        <v>209.79750000000001</v>
      </c>
      <c r="X25" s="8">
        <f>SUM(_xlfn.XLOOKUP($X$7,$I$7:W$7,$I25:W25):_xlfn.XLOOKUP($X$8,$I$7:W$7,$I25:W25))</f>
        <v>2544.2175000000007</v>
      </c>
    </row>
    <row r="26" spans="2:40" ht="14.25" customHeight="1" x14ac:dyDescent="0.2">
      <c r="B26" s="4" t="s">
        <v>63</v>
      </c>
      <c r="C26" s="1"/>
      <c r="D26" s="30" t="s">
        <v>76</v>
      </c>
      <c r="F26" s="8">
        <v>13</v>
      </c>
      <c r="G26" s="8">
        <v>14</v>
      </c>
      <c r="H26" s="8">
        <v>14</v>
      </c>
      <c r="I26" s="140">
        <v>14</v>
      </c>
      <c r="J26" s="8">
        <f>INDEX(bonus_accrual_forecast_tbl[#Totals],1,MATCH(TEXT('P&amp;L_Forecast'!J7, "m/d/yyyy"),bonus_accrual_forecast_tbl[#Headers],0)) / Currency_Denominator</f>
        <v>25.41825</v>
      </c>
      <c r="K26" s="8">
        <f>INDEX(bonus_accrual_forecast_tbl[#Totals],1,MATCH(TEXT('P&amp;L_Forecast'!K7, "m/d/yyyy"),bonus_accrual_forecast_tbl[#Headers],0)) / Currency_Denominator</f>
        <v>25.41825</v>
      </c>
      <c r="L26" s="8">
        <f>INDEX(bonus_accrual_forecast_tbl[#Totals],1,MATCH(TEXT('P&amp;L_Forecast'!L7, "m/d/yyyy"),bonus_accrual_forecast_tbl[#Headers],0)) / Currency_Denominator</f>
        <v>25.41825</v>
      </c>
      <c r="M26" s="8">
        <f>INDEX(bonus_accrual_forecast_tbl[#Totals],1,MATCH(TEXT('P&amp;L_Forecast'!M7, "m/d/yyyy"),bonus_accrual_forecast_tbl[#Headers],0)) / Currency_Denominator</f>
        <v>26.767125</v>
      </c>
      <c r="N26" s="8">
        <f>INDEX(bonus_accrual_forecast_tbl[#Totals],1,MATCH(TEXT('P&amp;L_Forecast'!N7, "m/d/yyyy"),bonus_accrual_forecast_tbl[#Headers],0)) / Currency_Denominator</f>
        <v>27.602437500000001</v>
      </c>
      <c r="O26" s="8">
        <f>INDEX(bonus_accrual_forecast_tbl[#Totals],1,MATCH(TEXT('P&amp;L_Forecast'!O7, "m/d/yyyy"),bonus_accrual_forecast_tbl[#Headers],0)) / Currency_Denominator</f>
        <v>31.421008928571432</v>
      </c>
      <c r="P26" s="8">
        <f>INDEX(bonus_accrual_forecast_tbl[#Totals],1,MATCH(TEXT('P&amp;L_Forecast'!P7, "m/d/yyyy"),bonus_accrual_forecast_tbl[#Headers],0)) / Currency_Denominator</f>
        <v>33.772258928571432</v>
      </c>
      <c r="Q26" s="8">
        <f>INDEX(bonus_accrual_forecast_tbl[#Totals],1,MATCH(TEXT('P&amp;L_Forecast'!Q7, "m/d/yyyy"),bonus_accrual_forecast_tbl[#Headers],0)) / Currency_Denominator</f>
        <v>37.781758928571435</v>
      </c>
      <c r="R26" s="8">
        <f>INDEX(bonus_accrual_forecast_tbl[#Totals],1,MATCH(TEXT('P&amp;L_Forecast'!R7, "m/d/yyyy"),bonus_accrual_forecast_tbl[#Headers],0)) / Currency_Denominator</f>
        <v>37.781758928571435</v>
      </c>
      <c r="S26" s="8">
        <f>INDEX(bonus_accrual_forecast_tbl[#Totals],1,MATCH(TEXT('P&amp;L_Forecast'!S7, "m/d/yyyy"),bonus_accrual_forecast_tbl[#Headers],0)) / Currency_Denominator</f>
        <v>42.113008928571432</v>
      </c>
      <c r="T26" s="8">
        <f>INDEX(bonus_accrual_forecast_tbl[#Totals],1,MATCH(TEXT('P&amp;L_Forecast'!T7, "m/d/yyyy"),bonus_accrual_forecast_tbl[#Headers],0)) / Currency_Denominator</f>
        <v>42.113008928571432</v>
      </c>
      <c r="U26" s="8">
        <f>INDEX(bonus_accrual_forecast_tbl[#Totals],1,MATCH(TEXT('P&amp;L_Forecast'!U7, "m/d/yyyy"),bonus_accrual_forecast_tbl[#Headers],0)) / Currency_Denominator</f>
        <v>42.113008928571432</v>
      </c>
      <c r="V26" s="8">
        <f>INDEX(bonus_accrual_forecast_tbl[#Totals],1,MATCH(TEXT('P&amp;L_Forecast'!V7, "m/d/yyyy"),bonus_accrual_forecast_tbl[#Headers],0)) / Currency_Denominator</f>
        <v>38.744357142857147</v>
      </c>
      <c r="X26" s="8">
        <f>SUM(_xlfn.XLOOKUP($X$7,$I$7:W$7,$I26:W26):_xlfn.XLOOKUP($X$8,$I$7:W$7,$I26:W26))</f>
        <v>436.46448214285726</v>
      </c>
    </row>
    <row r="27" spans="2:40" ht="14.25" customHeight="1" x14ac:dyDescent="0.2">
      <c r="B27" s="4" t="s">
        <v>67</v>
      </c>
      <c r="C27" s="1"/>
      <c r="D27" s="30" t="s">
        <v>76</v>
      </c>
      <c r="F27" s="8">
        <v>2.5</v>
      </c>
      <c r="G27" s="8">
        <v>2.5</v>
      </c>
      <c r="H27" s="8">
        <v>2.5</v>
      </c>
      <c r="I27" s="140">
        <v>2.5</v>
      </c>
      <c r="J27" s="8">
        <f>Cost_Expense_Fcst!O18 / Currency_Denominator</f>
        <v>25</v>
      </c>
      <c r="K27" s="8">
        <f>Cost_Expense_Fcst!P18 / Currency_Denominator</f>
        <v>25</v>
      </c>
      <c r="L27" s="8">
        <f>Cost_Expense_Fcst!Q18 / Currency_Denominator</f>
        <v>25</v>
      </c>
      <c r="M27" s="8">
        <f>Cost_Expense_Fcst!R18 / Currency_Denominator</f>
        <v>25</v>
      </c>
      <c r="N27" s="8">
        <f>Cost_Expense_Fcst!S18 / Currency_Denominator</f>
        <v>25</v>
      </c>
      <c r="O27" s="8">
        <f>Cost_Expense_Fcst!T18 / Currency_Denominator</f>
        <v>25</v>
      </c>
      <c r="P27" s="8">
        <f>Cost_Expense_Fcst!U18 / Currency_Denominator</f>
        <v>25</v>
      </c>
      <c r="Q27" s="8">
        <f>Cost_Expense_Fcst!V18 / Currency_Denominator</f>
        <v>25</v>
      </c>
      <c r="R27" s="8">
        <f>Cost_Expense_Fcst!W18 / Currency_Denominator</f>
        <v>25</v>
      </c>
      <c r="S27" s="8">
        <f>Cost_Expense_Fcst!X18 / Currency_Denominator</f>
        <v>25</v>
      </c>
      <c r="T27" s="8">
        <f>Cost_Expense_Fcst!Y18 / Currency_Denominator</f>
        <v>25</v>
      </c>
      <c r="U27" s="8">
        <f>Cost_Expense_Fcst!Z18 / Currency_Denominator</f>
        <v>25</v>
      </c>
      <c r="V27" s="8">
        <f>Cost_Expense_Fcst!AA18 / Currency_Denominator</f>
        <v>25</v>
      </c>
      <c r="W27" s="8">
        <f>Cost_Expense_Fcst!AB18 / Currency_Denominator</f>
        <v>0</v>
      </c>
      <c r="X27" s="8">
        <f>SUM(_xlfn.XLOOKUP($X$7,$I$7:W$7,$I27:W27):_xlfn.XLOOKUP($X$8,$I$7:W$7,$I27:W27))</f>
        <v>325</v>
      </c>
    </row>
    <row r="28" spans="2:40" ht="14.25" customHeight="1" x14ac:dyDescent="0.2">
      <c r="B28" s="4" t="s">
        <v>115</v>
      </c>
      <c r="C28" s="1"/>
      <c r="D28" s="30" t="s">
        <v>76</v>
      </c>
      <c r="F28" s="8">
        <v>9.75</v>
      </c>
      <c r="G28" s="8">
        <v>9.75</v>
      </c>
      <c r="H28" s="8">
        <v>9.75</v>
      </c>
      <c r="I28" s="140">
        <v>9.75</v>
      </c>
      <c r="J28" s="8">
        <f>Cost_Expense_Fcst!O28 / Currency_Denominator</f>
        <v>38.012951169033741</v>
      </c>
      <c r="K28" s="8">
        <f>Cost_Expense_Fcst!P28 / Currency_Denominator</f>
        <v>53.041632712324486</v>
      </c>
      <c r="L28" s="8">
        <f>Cost_Expense_Fcst!Q28 / Currency_Denominator</f>
        <v>14.0625</v>
      </c>
      <c r="M28" s="8">
        <f>Cost_Expense_Fcst!R28 / Currency_Denominator</f>
        <v>20.394288660383154</v>
      </c>
      <c r="N28" s="8">
        <f>Cost_Expense_Fcst!S28 / Currency_Denominator</f>
        <v>14.0625</v>
      </c>
      <c r="O28" s="8">
        <f>Cost_Expense_Fcst!T28 / Currency_Denominator</f>
        <v>14.0625</v>
      </c>
      <c r="P28" s="8">
        <f>Cost_Expense_Fcst!U28 / Currency_Denominator</f>
        <v>14.0625</v>
      </c>
      <c r="Q28" s="8">
        <f>Cost_Expense_Fcst!V28 / Currency_Denominator</f>
        <v>14.0625</v>
      </c>
      <c r="R28" s="8">
        <f>Cost_Expense_Fcst!W28 / Currency_Denominator</f>
        <v>14.0625</v>
      </c>
      <c r="S28" s="8">
        <f>Cost_Expense_Fcst!X28 / Currency_Denominator</f>
        <v>14.0625</v>
      </c>
      <c r="T28" s="8">
        <f>Cost_Expense_Fcst!Y28 / Currency_Denominator</f>
        <v>18.640092406195599</v>
      </c>
      <c r="U28" s="8">
        <f>Cost_Expense_Fcst!Z28 / Currency_Denominator</f>
        <v>27.194461850760309</v>
      </c>
      <c r="V28" s="8">
        <f>Cost_Expense_Fcst!AA28 / Currency_Denominator</f>
        <v>40.917944231713143</v>
      </c>
      <c r="W28" s="8">
        <f>Cost_Expense_Fcst!AB28 / Currency_Denominator</f>
        <v>0</v>
      </c>
      <c r="X28" s="8">
        <f>SUM(_xlfn.XLOOKUP($X$7,$I$7:W$7,$I28:W28):_xlfn.XLOOKUP($X$8,$I$7:W$7,$I28:W28))</f>
        <v>296.63887103041043</v>
      </c>
    </row>
    <row r="29" spans="2:40" ht="14.25" customHeight="1" x14ac:dyDescent="0.2">
      <c r="B29" s="4" t="s">
        <v>49</v>
      </c>
      <c r="C29" s="1"/>
      <c r="D29" s="30" t="s">
        <v>76</v>
      </c>
      <c r="F29" s="8">
        <v>48</v>
      </c>
      <c r="G29" s="8">
        <v>48</v>
      </c>
      <c r="H29" s="8">
        <v>49</v>
      </c>
      <c r="I29" s="140">
        <v>50</v>
      </c>
      <c r="J29" s="8">
        <f>Cost_Expense_Fcst!O36 / Currency_Denominator</f>
        <v>39.365940231808949</v>
      </c>
      <c r="K29" s="8">
        <f>Cost_Expense_Fcst!P36 / Currency_Denominator</f>
        <v>54.220335661487248</v>
      </c>
      <c r="L29" s="8">
        <f>Cost_Expense_Fcst!Q36 / Currency_Denominator</f>
        <v>7.0564329622919688</v>
      </c>
      <c r="M29" s="8">
        <f>Cost_Expense_Fcst!R36 / Currency_Denominator</f>
        <v>20.847495075058333</v>
      </c>
      <c r="N29" s="8">
        <f>Cost_Expense_Fcst!S36 / Currency_Denominator</f>
        <v>12.187223734762826</v>
      </c>
      <c r="O29" s="8">
        <f>Cost_Expense_Fcst!T36 / Currency_Denominator</f>
        <v>7.188245869969478</v>
      </c>
      <c r="P29" s="8">
        <f>Cost_Expense_Fcst!U36 / Currency_Denominator</f>
        <v>7.2573206733680218</v>
      </c>
      <c r="Q29" s="8">
        <f>Cost_Expense_Fcst!V36 / Currency_Denominator</f>
        <v>6.1209400674891041</v>
      </c>
      <c r="R29" s="8">
        <f>Cost_Expense_Fcst!W36 / Currency_Denominator</f>
        <v>12.340456697862496</v>
      </c>
      <c r="S29" s="8">
        <f>Cost_Expense_Fcst!X36 / Currency_Denominator</f>
        <v>14.101217469293315</v>
      </c>
      <c r="T29" s="8">
        <f>Cost_Expense_Fcst!Y36 / Currency_Denominator</f>
        <v>19.054316681888839</v>
      </c>
      <c r="U29" s="8">
        <f>Cost_Expense_Fcst!Z36 / Currency_Denominator</f>
        <v>27.798783225221648</v>
      </c>
      <c r="V29" s="8">
        <f>Cost_Expense_Fcst!AA36 / Currency_Denominator</f>
        <v>41.827231881306759</v>
      </c>
      <c r="W29" s="8">
        <f>Cost_Expense_Fcst!AB36 / Currency_Denominator</f>
        <v>0</v>
      </c>
      <c r="X29" s="8">
        <f>SUM(_xlfn.XLOOKUP($X$7,$I$7:W$7,$I29:W29):_xlfn.XLOOKUP($X$8,$I$7:W$7,$I29:W29))</f>
        <v>269.36594023180902</v>
      </c>
    </row>
    <row r="30" spans="2:40" ht="14.25" customHeight="1" x14ac:dyDescent="0.35">
      <c r="F30" s="10" t="s">
        <v>12</v>
      </c>
      <c r="G30" s="10" t="s">
        <v>12</v>
      </c>
      <c r="H30" s="10" t="s">
        <v>12</v>
      </c>
      <c r="I30" s="144" t="s">
        <v>12</v>
      </c>
      <c r="J30" s="10" t="s">
        <v>12</v>
      </c>
      <c r="K30" s="10" t="s">
        <v>12</v>
      </c>
      <c r="L30" s="10" t="s">
        <v>12</v>
      </c>
      <c r="M30" s="10" t="s">
        <v>12</v>
      </c>
      <c r="N30" s="10" t="s">
        <v>12</v>
      </c>
      <c r="O30" s="10" t="s">
        <v>12</v>
      </c>
      <c r="P30" s="10" t="s">
        <v>12</v>
      </c>
      <c r="Q30" s="10" t="s">
        <v>12</v>
      </c>
      <c r="R30" s="10" t="s">
        <v>12</v>
      </c>
      <c r="S30" s="10" t="s">
        <v>12</v>
      </c>
      <c r="T30" s="10" t="s">
        <v>12</v>
      </c>
      <c r="U30" s="10" t="s">
        <v>12</v>
      </c>
      <c r="V30" s="10" t="s">
        <v>12</v>
      </c>
      <c r="W30" s="8"/>
      <c r="X30" s="10" t="s">
        <v>12</v>
      </c>
    </row>
    <row r="31" spans="2:40" s="1" customFormat="1" ht="14.25" customHeight="1" x14ac:dyDescent="0.2">
      <c r="B31" s="26" t="s">
        <v>66</v>
      </c>
      <c r="F31" s="9">
        <f t="shared" ref="F31:U31" si="20">F22-SUM(F25:F30)</f>
        <v>363.78499999999997</v>
      </c>
      <c r="G31" s="9">
        <f t="shared" si="20"/>
        <v>352.03499999999997</v>
      </c>
      <c r="H31" s="9">
        <f t="shared" si="20"/>
        <v>499.28499999999997</v>
      </c>
      <c r="I31" s="145">
        <f t="shared" si="20"/>
        <v>360.68999999999994</v>
      </c>
      <c r="J31" s="9">
        <f t="shared" si="20"/>
        <v>942.2583366207233</v>
      </c>
      <c r="K31" s="9">
        <f t="shared" si="20"/>
        <v>1404.1855623233087</v>
      </c>
      <c r="L31" s="9">
        <f t="shared" si="20"/>
        <v>-19.546968870491838</v>
      </c>
      <c r="M31" s="9">
        <f t="shared" si="20"/>
        <v>395.52970837035645</v>
      </c>
      <c r="N31" s="9">
        <f t="shared" si="20"/>
        <v>128.72946700248332</v>
      </c>
      <c r="O31" s="9">
        <f t="shared" si="20"/>
        <v>-44.974265046214953</v>
      </c>
      <c r="P31" s="9">
        <f t="shared" si="20"/>
        <v>-48.483272465962955</v>
      </c>
      <c r="Q31" s="9">
        <f t="shared" si="20"/>
        <v>-98.873267038678193</v>
      </c>
      <c r="R31" s="9">
        <f t="shared" si="20"/>
        <v>94.014916475882899</v>
      </c>
      <c r="S31" s="9">
        <f t="shared" si="20"/>
        <v>146.35329545217451</v>
      </c>
      <c r="T31" s="9">
        <f t="shared" si="20"/>
        <v>295.38801195423446</v>
      </c>
      <c r="U31" s="9">
        <f t="shared" si="20"/>
        <v>558.02903719841345</v>
      </c>
      <c r="V31" s="9">
        <f t="shared" ref="V31" si="21">V22-SUM(V25:V30)</f>
        <v>982.74370470291547</v>
      </c>
      <c r="X31" s="9">
        <f>SUM(_xlfn.XLOOKUP($X$7,$I$7:W$7,$I31:W31):_xlfn.XLOOKUP($X$8,$I$7:W$7,$I31:W31))</f>
        <v>4735.3542666791445</v>
      </c>
    </row>
    <row r="32" spans="2:40" ht="14.25" customHeight="1" x14ac:dyDescent="0.2">
      <c r="C32" s="1"/>
      <c r="I32" s="147"/>
    </row>
    <row r="33" spans="1:24" ht="14.25" customHeight="1" x14ac:dyDescent="0.2">
      <c r="B33" s="4" t="s">
        <v>263</v>
      </c>
      <c r="C33" s="1"/>
      <c r="D33" s="30" t="s">
        <v>77</v>
      </c>
      <c r="F33" s="8">
        <f t="shared" ref="F33:I33" si="22">F31*Tax_Rate</f>
        <v>123.68689999999999</v>
      </c>
      <c r="G33" s="8">
        <f t="shared" si="22"/>
        <v>119.6919</v>
      </c>
      <c r="H33" s="8">
        <f t="shared" si="22"/>
        <v>169.7569</v>
      </c>
      <c r="I33" s="140">
        <f t="shared" si="22"/>
        <v>122.63459999999999</v>
      </c>
      <c r="J33" s="8">
        <f t="shared" ref="J33:U33" si="23">J31*Tax_Rate</f>
        <v>320.36783445104595</v>
      </c>
      <c r="K33" s="8">
        <f t="shared" si="23"/>
        <v>477.423091189925</v>
      </c>
      <c r="L33" s="8">
        <f t="shared" si="23"/>
        <v>-6.6459694159672251</v>
      </c>
      <c r="M33" s="8">
        <f t="shared" si="23"/>
        <v>134.48010084592121</v>
      </c>
      <c r="N33" s="8">
        <f t="shared" si="23"/>
        <v>43.768018780844329</v>
      </c>
      <c r="O33" s="8">
        <f t="shared" si="23"/>
        <v>-15.291250115713085</v>
      </c>
      <c r="P33" s="8">
        <f t="shared" si="23"/>
        <v>-16.484312638427404</v>
      </c>
      <c r="Q33" s="8">
        <f t="shared" si="23"/>
        <v>-33.616910793150588</v>
      </c>
      <c r="R33" s="8">
        <f t="shared" si="23"/>
        <v>31.965071601800187</v>
      </c>
      <c r="S33" s="8">
        <f t="shared" si="23"/>
        <v>49.760120453739333</v>
      </c>
      <c r="T33" s="8">
        <f t="shared" si="23"/>
        <v>100.43192406443973</v>
      </c>
      <c r="U33" s="8">
        <f t="shared" si="23"/>
        <v>189.72987264746058</v>
      </c>
      <c r="V33" s="8">
        <f t="shared" ref="V33" si="24">V31*Tax_Rate</f>
        <v>334.13285959899127</v>
      </c>
      <c r="X33" s="8">
        <f>SUM(_xlfn.XLOOKUP($X$7,$I$7:W$7,$I33:W33):_xlfn.XLOOKUP($X$8,$I$7:W$7,$I33:W33))</f>
        <v>1610.0204506709092</v>
      </c>
    </row>
    <row r="34" spans="1:24" ht="14.25" customHeight="1" x14ac:dyDescent="0.35">
      <c r="F34" s="10" t="s">
        <v>12</v>
      </c>
      <c r="G34" s="10" t="s">
        <v>12</v>
      </c>
      <c r="H34" s="10" t="s">
        <v>12</v>
      </c>
      <c r="I34" s="144" t="s">
        <v>12</v>
      </c>
      <c r="J34" s="10" t="s">
        <v>12</v>
      </c>
      <c r="K34" s="10" t="s">
        <v>12</v>
      </c>
      <c r="L34" s="10" t="s">
        <v>12</v>
      </c>
      <c r="M34" s="10" t="s">
        <v>12</v>
      </c>
      <c r="N34" s="10" t="s">
        <v>12</v>
      </c>
      <c r="O34" s="10" t="s">
        <v>12</v>
      </c>
      <c r="P34" s="10" t="s">
        <v>12</v>
      </c>
      <c r="Q34" s="10" t="s">
        <v>12</v>
      </c>
      <c r="R34" s="10" t="s">
        <v>12</v>
      </c>
      <c r="S34" s="10" t="s">
        <v>12</v>
      </c>
      <c r="T34" s="10" t="s">
        <v>12</v>
      </c>
      <c r="U34" s="10" t="s">
        <v>12</v>
      </c>
      <c r="V34" s="10" t="s">
        <v>12</v>
      </c>
      <c r="W34" s="8"/>
      <c r="X34" s="10" t="s">
        <v>12</v>
      </c>
    </row>
    <row r="35" spans="1:24" ht="14.25" customHeight="1" x14ac:dyDescent="0.2">
      <c r="B35" s="26" t="s">
        <v>64</v>
      </c>
      <c r="C35" s="1"/>
      <c r="F35" s="9">
        <f>F31-SUM(F33:F34)</f>
        <v>240.09809999999999</v>
      </c>
      <c r="G35" s="9">
        <f t="shared" ref="G35:U35" si="25">G31-SUM(G33:G34)</f>
        <v>232.34309999999996</v>
      </c>
      <c r="H35" s="9">
        <f t="shared" si="25"/>
        <v>329.52809999999999</v>
      </c>
      <c r="I35" s="145">
        <f t="shared" si="25"/>
        <v>238.05539999999996</v>
      </c>
      <c r="J35" s="9">
        <f t="shared" si="25"/>
        <v>621.89050216967735</v>
      </c>
      <c r="K35" s="9">
        <f t="shared" si="25"/>
        <v>926.76247113338366</v>
      </c>
      <c r="L35" s="9">
        <f t="shared" si="25"/>
        <v>-12.900999454524612</v>
      </c>
      <c r="M35" s="9">
        <f t="shared" si="25"/>
        <v>261.04960752443526</v>
      </c>
      <c r="N35" s="9">
        <f t="shared" si="25"/>
        <v>84.961448221638989</v>
      </c>
      <c r="O35" s="9">
        <f t="shared" si="25"/>
        <v>-29.683014930501869</v>
      </c>
      <c r="P35" s="9">
        <f t="shared" si="25"/>
        <v>-31.99895982753555</v>
      </c>
      <c r="Q35" s="9">
        <f t="shared" si="25"/>
        <v>-65.256356245527599</v>
      </c>
      <c r="R35" s="9">
        <f t="shared" si="25"/>
        <v>62.049844874082709</v>
      </c>
      <c r="S35" s="9">
        <f t="shared" si="25"/>
        <v>96.593174998435174</v>
      </c>
      <c r="T35" s="9">
        <f t="shared" si="25"/>
        <v>194.95608788979473</v>
      </c>
      <c r="U35" s="9">
        <f t="shared" si="25"/>
        <v>368.29916455095287</v>
      </c>
      <c r="V35" s="9">
        <f t="shared" ref="V35" si="26">V31-SUM(V33:V34)</f>
        <v>648.61084510392425</v>
      </c>
      <c r="W35" s="1"/>
      <c r="X35" s="9">
        <f>SUM(_xlfn.XLOOKUP($X$7,$I$7:W$7,$I35:W35):_xlfn.XLOOKUP($X$8,$I$7:W$7,$I35:W35))</f>
        <v>3125.3338160082349</v>
      </c>
    </row>
    <row r="36" spans="1:24" s="99" customFormat="1" ht="14.25" customHeight="1" x14ac:dyDescent="0.2">
      <c r="B36" s="95" t="s">
        <v>383</v>
      </c>
      <c r="C36" s="96"/>
      <c r="F36" s="97">
        <f>F35/F$14</f>
        <v>0.23100238123872519</v>
      </c>
      <c r="G36" s="97">
        <f t="shared" ref="G36" si="27">G35/G$14</f>
        <v>0.21245225740084578</v>
      </c>
      <c r="H36" s="97">
        <f t="shared" ref="H36" si="28">H35/H$14</f>
        <v>0.22014403340292274</v>
      </c>
      <c r="I36" s="146">
        <f t="shared" ref="I36" si="29">I35/I$14</f>
        <v>0.13439738494196285</v>
      </c>
      <c r="J36" s="97">
        <f t="shared" ref="J36" si="30">J35/J$14</f>
        <v>0.16361209720527933</v>
      </c>
      <c r="K36" s="97">
        <f t="shared" ref="K36" si="31">K35/K$14</f>
        <v>0.17473690141017068</v>
      </c>
      <c r="L36" s="97">
        <f t="shared" ref="L36" si="32">L35/L$14</f>
        <v>-1.8690311087135425E-2</v>
      </c>
      <c r="M36" s="97">
        <f t="shared" ref="M36" si="33">M35/M$14</f>
        <v>0.12801107886391339</v>
      </c>
      <c r="N36" s="97">
        <f t="shared" ref="N36" si="34">N35/N$14</f>
        <v>7.1268154967793429E-2</v>
      </c>
      <c r="O36" s="97">
        <f t="shared" ref="O36" si="35">O35/O$14</f>
        <v>-4.2214677918410777E-2</v>
      </c>
      <c r="P36" s="97">
        <f t="shared" ref="P36" si="36">P35/P$14</f>
        <v>-4.5075228912299925E-2</v>
      </c>
      <c r="Q36" s="97">
        <f t="shared" ref="Q36" si="37">Q35/Q$14</f>
        <v>-0.10898910496580023</v>
      </c>
      <c r="R36" s="97">
        <f t="shared" ref="R36" si="38">R35/R$14</f>
        <v>5.1402928339515402E-2</v>
      </c>
      <c r="S36" s="97">
        <f t="shared" ref="S36" si="39">S35/S$14</f>
        <v>7.002743582871554E-2</v>
      </c>
      <c r="T36" s="97">
        <f t="shared" ref="T36" si="40">T35/T$14</f>
        <v>0.10459762309894222</v>
      </c>
      <c r="U36" s="97">
        <f t="shared" ref="U36:V36" si="41">U35/U$14</f>
        <v>0.13544199430153042</v>
      </c>
      <c r="V36" s="97">
        <f t="shared" si="41"/>
        <v>0.15852708544944716</v>
      </c>
      <c r="W36" s="98"/>
      <c r="X36" s="97">
        <f t="shared" ref="X36" si="42">X35/X$14</f>
        <v>0.11883718393608857</v>
      </c>
    </row>
    <row r="37" spans="1:24" s="99" customFormat="1" ht="14.25" customHeight="1" x14ac:dyDescent="0.2">
      <c r="B37" s="95"/>
      <c r="C37" s="96"/>
      <c r="F37" s="97"/>
      <c r="G37" s="97"/>
      <c r="H37" s="97"/>
      <c r="I37" s="146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8"/>
      <c r="X37" s="97"/>
    </row>
    <row r="38" spans="1:24" ht="14.25" customHeight="1" x14ac:dyDescent="0.2">
      <c r="A38" s="38"/>
      <c r="B38" s="38"/>
      <c r="C38" s="39"/>
      <c r="D38" s="38"/>
      <c r="E38" s="38"/>
      <c r="F38" s="38"/>
      <c r="G38" s="38"/>
      <c r="H38" s="38"/>
      <c r="I38" s="14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8"/>
      <c r="V38" s="38"/>
      <c r="W38" s="38"/>
      <c r="X38" s="38"/>
    </row>
    <row r="39" spans="1:24" ht="14.25" customHeight="1" x14ac:dyDescent="0.2">
      <c r="A39" s="40"/>
      <c r="B39" s="40"/>
      <c r="C39" s="41"/>
      <c r="D39" s="40"/>
      <c r="E39" s="40"/>
      <c r="F39" s="40"/>
      <c r="G39" s="40"/>
      <c r="H39" s="40"/>
      <c r="I39" s="149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</row>
    <row r="40" spans="1:24" ht="14.25" customHeight="1" x14ac:dyDescent="0.2">
      <c r="C40" s="1"/>
      <c r="I40" s="147"/>
    </row>
    <row r="41" spans="1:24" ht="14.25" customHeight="1" x14ac:dyDescent="0.2">
      <c r="B41" s="1"/>
      <c r="C41" s="1"/>
      <c r="I41" s="147"/>
    </row>
    <row r="42" spans="1:24" ht="14.25" customHeight="1" x14ac:dyDescent="0.2">
      <c r="A42" s="38"/>
      <c r="B42" s="38"/>
      <c r="C42" s="39"/>
      <c r="D42" s="38"/>
      <c r="E42" s="38"/>
      <c r="F42" s="38"/>
      <c r="G42" s="38"/>
      <c r="H42" s="38"/>
      <c r="I42" s="14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8"/>
      <c r="V42" s="38"/>
      <c r="W42" s="38"/>
      <c r="X42" s="38"/>
    </row>
    <row r="43" spans="1:24" s="101" customFormat="1" ht="14.25" customHeight="1" x14ac:dyDescent="0.2">
      <c r="A43" s="46"/>
      <c r="B43" s="45" t="s">
        <v>29</v>
      </c>
      <c r="C43" s="45"/>
      <c r="D43" s="46"/>
      <c r="E43" s="46"/>
      <c r="F43" s="46"/>
      <c r="G43" s="46"/>
      <c r="H43" s="46"/>
      <c r="I43" s="150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</row>
    <row r="44" spans="1:24" ht="14.25" customHeight="1" x14ac:dyDescent="0.2">
      <c r="B44" s="18"/>
      <c r="C44" s="18"/>
      <c r="D44" s="19"/>
      <c r="E44" s="19"/>
      <c r="F44" s="19"/>
      <c r="G44" s="19"/>
      <c r="H44" s="19"/>
      <c r="I44" s="151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</row>
    <row r="45" spans="1:24" s="1" customFormat="1" ht="14.25" customHeight="1" x14ac:dyDescent="0.2">
      <c r="A45" s="49"/>
      <c r="B45" s="49" t="s">
        <v>0</v>
      </c>
      <c r="C45" s="49"/>
      <c r="D45" s="49"/>
      <c r="E45" s="49"/>
      <c r="F45" s="51"/>
      <c r="G45" s="51"/>
      <c r="H45" s="51"/>
      <c r="I45" s="152"/>
      <c r="J45" s="51">
        <f t="shared" ref="J45:V45" si="43">I51</f>
        <v>5269.402499999992</v>
      </c>
      <c r="K45" s="51">
        <f t="shared" si="43"/>
        <v>4281.5361995894855</v>
      </c>
      <c r="L45" s="51">
        <f t="shared" si="43"/>
        <v>9104.7649571959846</v>
      </c>
      <c r="M45" s="51">
        <f t="shared" si="43"/>
        <v>6108.0401528958992</v>
      </c>
      <c r="N45" s="51">
        <f t="shared" si="43"/>
        <v>3002.6671551529835</v>
      </c>
      <c r="O45" s="51">
        <f t="shared" si="43"/>
        <v>3525.2616346669274</v>
      </c>
      <c r="P45" s="51">
        <f t="shared" si="43"/>
        <v>2250.3107020993507</v>
      </c>
      <c r="Q45" s="51">
        <f t="shared" si="43"/>
        <v>1803.8384327116632</v>
      </c>
      <c r="R45" s="51">
        <f t="shared" si="43"/>
        <v>1720.5303662877432</v>
      </c>
      <c r="S45" s="51">
        <f t="shared" si="43"/>
        <v>2239.0528401723586</v>
      </c>
      <c r="T45" s="51">
        <f t="shared" si="43"/>
        <v>3037.6349586071256</v>
      </c>
      <c r="U45" s="51">
        <f t="shared" si="43"/>
        <v>3730.5893905927019</v>
      </c>
      <c r="V45" s="51">
        <f t="shared" si="43"/>
        <v>5111.8474586740122</v>
      </c>
      <c r="W45" s="49"/>
      <c r="X45" s="51">
        <f>J45</f>
        <v>5269.402499999992</v>
      </c>
    </row>
    <row r="46" spans="1:24" ht="14.25" customHeight="1" x14ac:dyDescent="0.2">
      <c r="B46" s="16" t="s">
        <v>1</v>
      </c>
      <c r="C46" s="1"/>
      <c r="D46" s="50" t="s">
        <v>13</v>
      </c>
      <c r="F46" s="8"/>
      <c r="G46" s="8"/>
      <c r="H46" s="8"/>
      <c r="I46" s="140"/>
      <c r="J46" s="8">
        <f>SUMIFS(J$9:J$39,$D$9:$D$39,$D46)</f>
        <v>3801.0056272881184</v>
      </c>
      <c r="K46" s="8">
        <f t="shared" ref="K46:V46" si="44">SUMIFS(K$9:K$39,$D$9:$D$39,$D46)</f>
        <v>5303.7593299078662</v>
      </c>
      <c r="L46" s="8">
        <f t="shared" si="44"/>
        <v>690.25065416938901</v>
      </c>
      <c r="M46" s="8">
        <f t="shared" si="44"/>
        <v>2039.2735522677151</v>
      </c>
      <c r="N46" s="8">
        <f t="shared" si="44"/>
        <v>1192.1376140582515</v>
      </c>
      <c r="O46" s="8">
        <f t="shared" si="44"/>
        <v>703.14441313210716</v>
      </c>
      <c r="P46" s="8">
        <f t="shared" si="44"/>
        <v>709.90121624881681</v>
      </c>
      <c r="Q46" s="8">
        <f t="shared" si="44"/>
        <v>598.74201431422375</v>
      </c>
      <c r="R46" s="8">
        <f t="shared" si="44"/>
        <v>1207.1266536459677</v>
      </c>
      <c r="S46" s="8">
        <f t="shared" si="44"/>
        <v>1379.3618723195639</v>
      </c>
      <c r="T46" s="8">
        <f t="shared" si="44"/>
        <v>1863.8672860221648</v>
      </c>
      <c r="U46" s="8">
        <f t="shared" si="44"/>
        <v>2719.2390842312875</v>
      </c>
      <c r="V46" s="8">
        <f t="shared" si="44"/>
        <v>4091.4828104296435</v>
      </c>
      <c r="X46" s="8">
        <f>SUM(J46:W46)</f>
        <v>26299.292128035115</v>
      </c>
    </row>
    <row r="47" spans="1:24" ht="14.25" customHeight="1" x14ac:dyDescent="0.2">
      <c r="B47" s="16" t="s">
        <v>280</v>
      </c>
      <c r="C47" s="1"/>
      <c r="F47" s="8"/>
      <c r="G47" s="8"/>
      <c r="H47" s="8"/>
      <c r="I47" s="140"/>
      <c r="J47" s="8">
        <f>-SUMIFS(AR_aging_tbl[AR_Aging],AR_aging_tbl[Receipt_Date],"&gt;"&amp;'P&amp;L_Forecast'!I$7,AR_aging_tbl[Receipt_Date],"&lt;="&amp;'P&amp;L_Forecast'!J$7) / Currency_Denominator</f>
        <v>-4788.8719276986249</v>
      </c>
      <c r="K47" s="8">
        <f>-SUMIFS(AR_aging_tbl[AR_Aging],AR_aging_tbl[Receipt_Date],"&gt;"&amp;'P&amp;L_Forecast'!J$7,AR_aging_tbl[Receipt_Date],"&lt;="&amp;'P&amp;L_Forecast'!K$7) / Currency_Denominator</f>
        <v>-480.53057230136602</v>
      </c>
      <c r="L47" s="8">
        <f>-SUMIFS(AR_aging_tbl[AR_Aging],AR_aging_tbl[Receipt_Date],"&gt;"&amp;'P&amp;L_Forecast'!K$7,AR_aging_tbl[Receipt_Date],"&lt;="&amp;'P&amp;L_Forecast'!L$7) / Currency_Denominator</f>
        <v>0</v>
      </c>
      <c r="M47" s="8">
        <f>-SUMIFS(AR_aging_tbl[AR_Aging],AR_aging_tbl[Receipt_Date],"&gt;"&amp;'P&amp;L_Forecast'!L$7,AR_aging_tbl[Receipt_Date],"&lt;="&amp;'P&amp;L_Forecast'!M$7) / Currency_Denominator</f>
        <v>0</v>
      </c>
      <c r="N47" s="8">
        <f>-SUMIFS(AR_aging_tbl[AR_Aging],AR_aging_tbl[Receipt_Date],"&gt;"&amp;'P&amp;L_Forecast'!M$7,AR_aging_tbl[Receipt_Date],"&lt;="&amp;'P&amp;L_Forecast'!N$7) / Currency_Denominator</f>
        <v>0</v>
      </c>
      <c r="O47" s="8">
        <f>-SUMIFS(AR_aging_tbl[AR_Aging],AR_aging_tbl[Receipt_Date],"&gt;"&amp;'P&amp;L_Forecast'!N$7,AR_aging_tbl[Receipt_Date],"&lt;="&amp;'P&amp;L_Forecast'!O$7) / Currency_Denominator</f>
        <v>0</v>
      </c>
      <c r="P47" s="8">
        <f>-SUMIFS(AR_aging_tbl[AR_Aging],AR_aging_tbl[Receipt_Date],"&gt;"&amp;'P&amp;L_Forecast'!O$7,AR_aging_tbl[Receipt_Date],"&lt;="&amp;'P&amp;L_Forecast'!P$7) / Currency_Denominator</f>
        <v>0</v>
      </c>
      <c r="Q47" s="8">
        <f>-SUMIFS(AR_aging_tbl[AR_Aging],AR_aging_tbl[Receipt_Date],"&gt;"&amp;'P&amp;L_Forecast'!P$7,AR_aging_tbl[Receipt_Date],"&lt;="&amp;'P&amp;L_Forecast'!Q$7) / Currency_Denominator</f>
        <v>0</v>
      </c>
      <c r="R47" s="8">
        <f>-SUMIFS(AR_aging_tbl[AR_Aging],AR_aging_tbl[Receipt_Date],"&gt;"&amp;'P&amp;L_Forecast'!Q$7,AR_aging_tbl[Receipt_Date],"&lt;="&amp;'P&amp;L_Forecast'!R$7) / Currency_Denominator</f>
        <v>0</v>
      </c>
      <c r="S47" s="8">
        <f>-SUMIFS(AR_aging_tbl[AR_Aging],AR_aging_tbl[Receipt_Date],"&gt;"&amp;'P&amp;L_Forecast'!R$7,AR_aging_tbl[Receipt_Date],"&lt;="&amp;'P&amp;L_Forecast'!S$7) / Currency_Denominator</f>
        <v>0</v>
      </c>
      <c r="T47" s="8">
        <f>-SUMIFS(AR_aging_tbl[AR_Aging],AR_aging_tbl[Receipt_Date],"&gt;"&amp;'P&amp;L_Forecast'!S$7,AR_aging_tbl[Receipt_Date],"&lt;="&amp;'P&amp;L_Forecast'!T$7) / Currency_Denominator</f>
        <v>0</v>
      </c>
      <c r="U47" s="8">
        <f>-SUMIFS(AR_aging_tbl[AR_Aging],AR_aging_tbl[Receipt_Date],"&gt;"&amp;'P&amp;L_Forecast'!T$7,AR_aging_tbl[Receipt_Date],"&lt;="&amp;'P&amp;L_Forecast'!U$7) / Currency_Denominator</f>
        <v>0</v>
      </c>
      <c r="V47" s="8">
        <f>-SUMIFS(AR_aging_tbl[AR_Aging],AR_aging_tbl[Receipt_Date],"&gt;"&amp;'P&amp;L_Forecast'!U$7,AR_aging_tbl[Receipt_Date],"&lt;="&amp;'P&amp;L_Forecast'!V$7) / Currency_Denominator</f>
        <v>0</v>
      </c>
      <c r="X47" s="8">
        <f>SUM(J47:W47)</f>
        <v>-5269.4024999999911</v>
      </c>
    </row>
    <row r="48" spans="1:24" ht="14.25" customHeight="1" x14ac:dyDescent="0.2">
      <c r="B48" s="16" t="s">
        <v>278</v>
      </c>
      <c r="C48" s="1"/>
      <c r="F48" s="8"/>
      <c r="G48" s="8"/>
      <c r="H48" s="8"/>
      <c r="I48" s="140"/>
      <c r="J48" s="8">
        <f>-(SUMIFS($E46:J46,$E155:J155,J$7)+SUMIFS($E53:J53,$E155:J155,J$7))</f>
        <v>0</v>
      </c>
      <c r="K48" s="8">
        <f>-(SUMIFS($E46:K46,$E155:K155,K$7)+SUMIFS($E53:K53,$E155:K155,K$7))</f>
        <v>0</v>
      </c>
      <c r="L48" s="8">
        <f>-(SUMIFS($E46:L46,$E155:L155,L$7)+SUMIFS($E53:L53,$E155:L155,L$7))</f>
        <v>-3686.9754584694747</v>
      </c>
      <c r="M48" s="8">
        <f>-(SUMIFS($E46:M46,$E155:M155,M$7)+SUMIFS($E53:M53,$E155:M155,M$7))</f>
        <v>-5144.6465500106306</v>
      </c>
      <c r="N48" s="8">
        <f>-(SUMIFS($E46:N46,$E155:N155,N$7)+SUMIFS($E53:N53,$E155:N155,N$7))</f>
        <v>-669.54313454430735</v>
      </c>
      <c r="O48" s="8">
        <f>-(SUMIFS($E46:O46,$E155:O155,O$7)+SUMIFS($E53:O53,$E155:O155,O$7))</f>
        <v>-1978.0953456996835</v>
      </c>
      <c r="P48" s="8">
        <f>-(SUMIFS($E46:P46,$E155:P155,P$7)+SUMIFS($E53:P53,$E155:P155,P$7))</f>
        <v>-1156.373485636504</v>
      </c>
      <c r="Q48" s="8">
        <f>-(SUMIFS($E46:Q46,$E155:Q155,Q$7)+SUMIFS($E53:Q53,$E155:Q155,Q$7))</f>
        <v>-682.05008073814395</v>
      </c>
      <c r="R48" s="8">
        <f>-(SUMIFS($E46:R46,$E155:R155,R$7)+SUMIFS($E53:R53,$E155:R155,R$7))</f>
        <v>-688.60417976135227</v>
      </c>
      <c r="S48" s="8">
        <f>-(SUMIFS($E46:S46,$E155:S155,S$7)+SUMIFS($E53:S53,$E155:S155,S$7))</f>
        <v>-580.77975388479706</v>
      </c>
      <c r="T48" s="8">
        <f>-(SUMIFS($E46:T46,$E155:T155,T$7)+SUMIFS($E53:T53,$E155:T155,T$7))</f>
        <v>-1170.9128540365887</v>
      </c>
      <c r="U48" s="8">
        <f>-(SUMIFS($E46:U46,$E155:U155,U$7)+SUMIFS($E53:U53,$E155:U155,U$7))</f>
        <v>-1337.981016149977</v>
      </c>
      <c r="V48" s="8">
        <f>-(SUMIFS($E46:V46,$E155:V155,V$7)+SUMIFS($E53:V53,$E155:V155,V$7))</f>
        <v>-1807.9512674414998</v>
      </c>
      <c r="X48" s="8">
        <f>SUM(J48:W48)</f>
        <v>-18903.913126372958</v>
      </c>
    </row>
    <row r="49" spans="1:26" ht="14.25" customHeight="1" x14ac:dyDescent="0.2">
      <c r="B49" s="16" t="s">
        <v>279</v>
      </c>
      <c r="C49" s="1"/>
      <c r="F49" s="8"/>
      <c r="G49" s="8"/>
      <c r="H49" s="8"/>
      <c r="I49" s="140"/>
      <c r="J49" s="8">
        <f t="shared" ref="J49:V49" si="45">(I54+J53)*J55</f>
        <v>0</v>
      </c>
      <c r="K49" s="8">
        <f t="shared" si="45"/>
        <v>0</v>
      </c>
      <c r="L49" s="8">
        <f t="shared" si="45"/>
        <v>0</v>
      </c>
      <c r="M49" s="8">
        <f t="shared" si="45"/>
        <v>0</v>
      </c>
      <c r="N49" s="8">
        <f t="shared" si="45"/>
        <v>0</v>
      </c>
      <c r="O49" s="8">
        <f t="shared" si="45"/>
        <v>0</v>
      </c>
      <c r="P49" s="8">
        <f t="shared" si="45"/>
        <v>0</v>
      </c>
      <c r="Q49" s="8">
        <f t="shared" si="45"/>
        <v>0</v>
      </c>
      <c r="R49" s="8">
        <f t="shared" si="45"/>
        <v>0</v>
      </c>
      <c r="S49" s="8">
        <f t="shared" si="45"/>
        <v>0</v>
      </c>
      <c r="T49" s="8">
        <f t="shared" si="45"/>
        <v>0</v>
      </c>
      <c r="U49" s="8">
        <f t="shared" si="45"/>
        <v>0</v>
      </c>
      <c r="V49" s="8">
        <f t="shared" si="45"/>
        <v>0</v>
      </c>
      <c r="X49" s="8">
        <f>SUM(J49:W49)</f>
        <v>0</v>
      </c>
    </row>
    <row r="50" spans="1:26" ht="3.75" customHeight="1" x14ac:dyDescent="0.35">
      <c r="F50" s="10"/>
      <c r="G50" s="10"/>
      <c r="H50" s="10"/>
      <c r="I50" s="144" t="s">
        <v>12</v>
      </c>
      <c r="J50" s="10" t="s">
        <v>12</v>
      </c>
      <c r="K50" s="10" t="s">
        <v>12</v>
      </c>
      <c r="L50" s="10" t="s">
        <v>12</v>
      </c>
      <c r="M50" s="10" t="s">
        <v>12</v>
      </c>
      <c r="N50" s="10" t="s">
        <v>12</v>
      </c>
      <c r="O50" s="10" t="s">
        <v>12</v>
      </c>
      <c r="P50" s="10" t="s">
        <v>12</v>
      </c>
      <c r="Q50" s="10" t="s">
        <v>12</v>
      </c>
      <c r="R50" s="10" t="s">
        <v>12</v>
      </c>
      <c r="S50" s="10" t="s">
        <v>12</v>
      </c>
      <c r="T50" s="10" t="s">
        <v>12</v>
      </c>
      <c r="U50" s="10" t="s">
        <v>12</v>
      </c>
      <c r="V50" s="10" t="s">
        <v>12</v>
      </c>
      <c r="W50" s="8"/>
      <c r="X50" s="10" t="s">
        <v>12</v>
      </c>
    </row>
    <row r="51" spans="1:26" s="1" customFormat="1" ht="14.25" customHeight="1" x14ac:dyDescent="0.2">
      <c r="B51" s="1" t="s">
        <v>23</v>
      </c>
      <c r="F51" s="9"/>
      <c r="G51" s="9"/>
      <c r="H51" s="9"/>
      <c r="I51" s="153">
        <f>AR_aging_tbl[[#Totals],[AR_Aging]]/Currency_Denominator</f>
        <v>5269.402499999992</v>
      </c>
      <c r="J51" s="9">
        <f t="shared" ref="J51:U51" si="46">SUM(J45:J50)</f>
        <v>4281.5361995894855</v>
      </c>
      <c r="K51" s="9">
        <f t="shared" si="46"/>
        <v>9104.7649571959846</v>
      </c>
      <c r="L51" s="9">
        <f t="shared" si="46"/>
        <v>6108.0401528958992</v>
      </c>
      <c r="M51" s="9">
        <f t="shared" si="46"/>
        <v>3002.6671551529835</v>
      </c>
      <c r="N51" s="9">
        <f t="shared" si="46"/>
        <v>3525.2616346669274</v>
      </c>
      <c r="O51" s="9">
        <f t="shared" si="46"/>
        <v>2250.3107020993507</v>
      </c>
      <c r="P51" s="9">
        <f t="shared" si="46"/>
        <v>1803.8384327116632</v>
      </c>
      <c r="Q51" s="9">
        <f t="shared" si="46"/>
        <v>1720.5303662877432</v>
      </c>
      <c r="R51" s="9">
        <f t="shared" si="46"/>
        <v>2239.0528401723586</v>
      </c>
      <c r="S51" s="9">
        <f t="shared" si="46"/>
        <v>3037.6349586071256</v>
      </c>
      <c r="T51" s="9">
        <f t="shared" si="46"/>
        <v>3730.5893905927019</v>
      </c>
      <c r="U51" s="9">
        <f t="shared" si="46"/>
        <v>5111.8474586740122</v>
      </c>
      <c r="V51" s="9">
        <f t="shared" ref="V51" si="47">SUM(V45:V50)</f>
        <v>7395.3790016621551</v>
      </c>
      <c r="X51" s="9">
        <f>SUM(X45:X50)</f>
        <v>7395.379001662157</v>
      </c>
    </row>
    <row r="52" spans="1:26" ht="14.25" customHeight="1" x14ac:dyDescent="0.2">
      <c r="C52" s="1"/>
      <c r="I52" s="147"/>
    </row>
    <row r="53" spans="1:26" ht="14.25" customHeight="1" x14ac:dyDescent="0.2">
      <c r="B53" s="16" t="str">
        <f>"Uncollectable Reserve ("&amp;TEXT(Assumptions!$C$16,"#0.0%")&amp;")"</f>
        <v>Uncollectable Reserve (3.0%)</v>
      </c>
      <c r="C53" s="1"/>
      <c r="F53" s="8"/>
      <c r="G53" s="8"/>
      <c r="H53" s="8"/>
      <c r="I53" s="140"/>
      <c r="J53" s="8">
        <f>-J46*Assumptions!$C$16</f>
        <v>-114.03016881864355</v>
      </c>
      <c r="K53" s="8">
        <f>-K46*Assumptions!$C$16</f>
        <v>-159.11277989723598</v>
      </c>
      <c r="L53" s="8">
        <f>-L46*Assumptions!$C$16</f>
        <v>-20.70751962508167</v>
      </c>
      <c r="M53" s="8">
        <f>-M46*Assumptions!$C$16</f>
        <v>-61.178206568031449</v>
      </c>
      <c r="N53" s="8">
        <f>-N46*Assumptions!$C$16</f>
        <v>-35.764128421747543</v>
      </c>
      <c r="O53" s="8">
        <f>-O46*Assumptions!$C$16</f>
        <v>-21.094332393963214</v>
      </c>
      <c r="P53" s="8">
        <f>-P46*Assumptions!$C$16</f>
        <v>-21.297036487464503</v>
      </c>
      <c r="Q53" s="8">
        <f>-Q46*Assumptions!$C$16</f>
        <v>-17.962260429426713</v>
      </c>
      <c r="R53" s="8">
        <f>-R46*Assumptions!$C$16</f>
        <v>-36.213799609379031</v>
      </c>
      <c r="S53" s="8">
        <f>-S46*Assumptions!$C$16</f>
        <v>-41.380856169586913</v>
      </c>
      <c r="T53" s="8">
        <f>-T46*Assumptions!$C$16</f>
        <v>-55.916018580664939</v>
      </c>
      <c r="U53" s="8">
        <f>-U46*Assumptions!$C$16</f>
        <v>-81.577172526938625</v>
      </c>
      <c r="V53" s="8">
        <f>-V46*Assumptions!$C$16</f>
        <v>-122.7444843128893</v>
      </c>
      <c r="X53" s="8">
        <f>SUM(J53:W53)</f>
        <v>-788.97876384105336</v>
      </c>
    </row>
    <row r="54" spans="1:26" ht="14.25" customHeight="1" x14ac:dyDescent="0.2">
      <c r="B54" s="16" t="str">
        <f>"Cumulative Uncollectable Reserve ("&amp;TEXT(Assumptions!$C$16,"#0.0%")&amp;")"</f>
        <v>Cumulative Uncollectable Reserve (3.0%)</v>
      </c>
      <c r="C54" s="1"/>
      <c r="F54" s="8"/>
      <c r="G54" s="8"/>
      <c r="H54" s="8"/>
      <c r="I54" s="140"/>
      <c r="J54" s="8">
        <f t="shared" ref="J54:V54" si="48">(J53+I54)*NOT(J55)</f>
        <v>-114.03016881864355</v>
      </c>
      <c r="K54" s="8">
        <f t="shared" si="48"/>
        <v>-273.14294871587953</v>
      </c>
      <c r="L54" s="8">
        <f t="shared" si="48"/>
        <v>-293.85046834096119</v>
      </c>
      <c r="M54" s="8">
        <f t="shared" si="48"/>
        <v>-355.02867490899263</v>
      </c>
      <c r="N54" s="8">
        <f t="shared" si="48"/>
        <v>-390.79280333074018</v>
      </c>
      <c r="O54" s="8">
        <f t="shared" si="48"/>
        <v>-411.8871357247034</v>
      </c>
      <c r="P54" s="8">
        <f t="shared" si="48"/>
        <v>-433.18417221216788</v>
      </c>
      <c r="Q54" s="8">
        <f t="shared" si="48"/>
        <v>-451.14643264159457</v>
      </c>
      <c r="R54" s="8">
        <f t="shared" si="48"/>
        <v>-487.36023225097358</v>
      </c>
      <c r="S54" s="8">
        <f t="shared" si="48"/>
        <v>-528.74108842056046</v>
      </c>
      <c r="T54" s="8">
        <f t="shared" si="48"/>
        <v>-584.65710700122543</v>
      </c>
      <c r="U54" s="8">
        <f t="shared" si="48"/>
        <v>-666.23427952816405</v>
      </c>
      <c r="V54" s="8">
        <f t="shared" si="48"/>
        <v>-788.97876384105336</v>
      </c>
      <c r="X54" s="8">
        <f>V54</f>
        <v>-788.97876384105336</v>
      </c>
    </row>
    <row r="55" spans="1:26" ht="14.25" customHeight="1" x14ac:dyDescent="0.2">
      <c r="A55" s="29"/>
      <c r="B55" s="52" t="s">
        <v>72</v>
      </c>
      <c r="C55" s="49"/>
      <c r="D55" s="29"/>
      <c r="E55" s="29"/>
      <c r="F55" s="134"/>
      <c r="G55" s="134"/>
      <c r="H55" s="134"/>
      <c r="I55" s="154"/>
      <c r="J55" s="53" t="b">
        <v>0</v>
      </c>
      <c r="K55" s="53" t="b">
        <v>0</v>
      </c>
      <c r="L55" s="53" t="b">
        <v>0</v>
      </c>
      <c r="M55" s="53" t="b">
        <v>0</v>
      </c>
      <c r="N55" s="53" t="b">
        <v>0</v>
      </c>
      <c r="O55" s="53" t="b">
        <v>0</v>
      </c>
      <c r="P55" s="53" t="b">
        <v>0</v>
      </c>
      <c r="Q55" s="53" t="b">
        <v>0</v>
      </c>
      <c r="R55" s="53" t="b">
        <v>0</v>
      </c>
      <c r="S55" s="53" t="b">
        <v>0</v>
      </c>
      <c r="T55" s="53" t="b">
        <v>0</v>
      </c>
      <c r="U55" s="53" t="b">
        <v>0</v>
      </c>
      <c r="V55" s="53" t="b">
        <v>0</v>
      </c>
      <c r="W55" s="29"/>
      <c r="X55" s="29"/>
    </row>
    <row r="56" spans="1:26" ht="14.25" customHeight="1" x14ac:dyDescent="0.2">
      <c r="A56" s="38"/>
      <c r="B56" s="38"/>
      <c r="C56" s="39"/>
      <c r="D56" s="38"/>
      <c r="E56" s="38"/>
      <c r="F56" s="38"/>
      <c r="G56" s="38"/>
      <c r="H56" s="38"/>
      <c r="I56" s="14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8"/>
      <c r="V56" s="38"/>
      <c r="W56" s="38"/>
      <c r="X56" s="38"/>
    </row>
    <row r="57" spans="1:26" s="101" customFormat="1" ht="14.25" customHeight="1" x14ac:dyDescent="0.2">
      <c r="A57" s="46"/>
      <c r="B57" s="45" t="s">
        <v>30</v>
      </c>
      <c r="C57" s="45"/>
      <c r="D57" s="46"/>
      <c r="E57" s="46"/>
      <c r="F57" s="46"/>
      <c r="G57" s="46"/>
      <c r="H57" s="46"/>
      <c r="I57" s="150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</row>
    <row r="58" spans="1:26" ht="14.25" customHeight="1" x14ac:dyDescent="0.2">
      <c r="B58" s="18"/>
      <c r="C58" s="18"/>
      <c r="D58" s="19"/>
      <c r="E58" s="19"/>
      <c r="F58" s="19"/>
      <c r="G58" s="19"/>
      <c r="H58" s="19"/>
      <c r="I58" s="151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</row>
    <row r="59" spans="1:26" s="1" customFormat="1" ht="14.25" customHeight="1" x14ac:dyDescent="0.2">
      <c r="A59" s="49"/>
      <c r="B59" s="49" t="s">
        <v>24</v>
      </c>
      <c r="C59" s="49"/>
      <c r="D59" s="49"/>
      <c r="E59" s="49"/>
      <c r="F59" s="49"/>
      <c r="G59" s="49"/>
      <c r="H59" s="49"/>
      <c r="I59" s="155"/>
      <c r="J59" s="51">
        <f t="shared" ref="J59:V59" si="49">I64</f>
        <v>2871.11</v>
      </c>
      <c r="K59" s="51">
        <f t="shared" ca="1" si="49"/>
        <v>1969.6120068674795</v>
      </c>
      <c r="L59" s="51">
        <f t="shared" ca="1" si="49"/>
        <v>2748.3116527704397</v>
      </c>
      <c r="M59" s="51">
        <f t="shared" ca="1" si="49"/>
        <v>357.67533897868361</v>
      </c>
      <c r="N59" s="51">
        <f t="shared" ca="1" si="49"/>
        <v>1056.7144770841796</v>
      </c>
      <c r="O59" s="51">
        <f t="shared" ca="1" si="49"/>
        <v>617.74403637563955</v>
      </c>
      <c r="P59" s="51">
        <f t="shared" ca="1" si="49"/>
        <v>364.35665044118298</v>
      </c>
      <c r="Q59" s="51">
        <f t="shared" ca="1" si="49"/>
        <v>367.85790296529615</v>
      </c>
      <c r="R59" s="51">
        <f t="shared" ca="1" si="49"/>
        <v>310.25722559918881</v>
      </c>
      <c r="S59" s="51">
        <f t="shared" ca="1" si="49"/>
        <v>625.51108416200157</v>
      </c>
      <c r="T59" s="51">
        <f t="shared" ca="1" si="49"/>
        <v>714.76024292922864</v>
      </c>
      <c r="U59" s="51">
        <f t="shared" ca="1" si="49"/>
        <v>965.82213912057648</v>
      </c>
      <c r="V59" s="51">
        <f t="shared" ca="1" si="49"/>
        <v>1409.0602527380311</v>
      </c>
      <c r="W59" s="49"/>
      <c r="X59" s="51">
        <f>J59</f>
        <v>2871.11</v>
      </c>
    </row>
    <row r="60" spans="1:26" ht="14.25" customHeight="1" x14ac:dyDescent="0.2">
      <c r="B60" s="16" t="s">
        <v>25</v>
      </c>
      <c r="C60" s="1"/>
      <c r="D60" s="50" t="s">
        <v>2</v>
      </c>
      <c r="I60" s="147"/>
      <c r="J60" s="8">
        <f>SUMIFS(J$9:J$39,$D$9:$D$39,$D60)</f>
        <v>1969.6120068674793</v>
      </c>
      <c r="K60" s="8">
        <f t="shared" ref="K60:V60" si="50">SUMIFS(K$9:K$39,$D$9:$D$39,$D60)</f>
        <v>2748.3116527704392</v>
      </c>
      <c r="L60" s="8">
        <f t="shared" si="50"/>
        <v>357.67533897868333</v>
      </c>
      <c r="M60" s="8">
        <f t="shared" si="50"/>
        <v>1056.7144770841794</v>
      </c>
      <c r="N60" s="8">
        <f t="shared" si="50"/>
        <v>617.74403637563933</v>
      </c>
      <c r="O60" s="8">
        <f t="shared" si="50"/>
        <v>364.35665044118275</v>
      </c>
      <c r="P60" s="8">
        <f t="shared" si="50"/>
        <v>367.85790296529592</v>
      </c>
      <c r="Q60" s="8">
        <f t="shared" si="50"/>
        <v>310.25722559918859</v>
      </c>
      <c r="R60" s="8">
        <f t="shared" si="50"/>
        <v>625.51108416200134</v>
      </c>
      <c r="S60" s="8">
        <f t="shared" si="50"/>
        <v>714.76024292922841</v>
      </c>
      <c r="T60" s="8">
        <f t="shared" si="50"/>
        <v>965.82213912057614</v>
      </c>
      <c r="U60" s="8">
        <f t="shared" si="50"/>
        <v>1409.0602527380306</v>
      </c>
      <c r="V60" s="8">
        <f t="shared" si="50"/>
        <v>2120.1320017680878</v>
      </c>
      <c r="X60" s="8">
        <f>SUM(J60:W60)</f>
        <v>13627.815011800014</v>
      </c>
    </row>
    <row r="61" spans="1:26" ht="14.25" customHeight="1" x14ac:dyDescent="0.2">
      <c r="B61" s="16" t="s">
        <v>289</v>
      </c>
      <c r="C61" s="1"/>
      <c r="F61" s="9"/>
      <c r="G61" s="9"/>
      <c r="H61" s="9"/>
      <c r="I61" s="145"/>
      <c r="J61" s="8">
        <f>-SUMIFS(AP_aging_tbl[AP_Aging],AP_aging_tbl[Pay_Date],"&gt;"&amp;'P&amp;L_Forecast'!I$7,AP_aging_tbl[Pay_Date],"&lt;="&amp;'P&amp;L_Forecast'!J$7) / Currency_Denominator</f>
        <v>-2871.11</v>
      </c>
      <c r="K61" s="8">
        <f>-SUMIFS(AP_aging_tbl[AP_Aging],AP_aging_tbl[Pay_Date],"&gt;"&amp;'P&amp;L_Forecast'!J$7,AP_aging_tbl[Pay_Date],"&lt;="&amp;'P&amp;L_Forecast'!K$7) / Currency_Denominator</f>
        <v>0</v>
      </c>
      <c r="L61" s="8">
        <f>-SUMIFS(AP_aging_tbl[AP_Aging],AP_aging_tbl[Pay_Date],"&gt;"&amp;'P&amp;L_Forecast'!K$7,AP_aging_tbl[Pay_Date],"&lt;="&amp;'P&amp;L_Forecast'!L$7) / Currency_Denominator</f>
        <v>0</v>
      </c>
      <c r="M61" s="8">
        <f>-SUMIFS(AP_aging_tbl[AP_Aging],AP_aging_tbl[Pay_Date],"&gt;"&amp;'P&amp;L_Forecast'!L$7,AP_aging_tbl[Pay_Date],"&lt;="&amp;'P&amp;L_Forecast'!M$7) / Currency_Denominator</f>
        <v>0</v>
      </c>
      <c r="N61" s="8">
        <f>-SUMIFS(AP_aging_tbl[AP_Aging],AP_aging_tbl[Pay_Date],"&gt;"&amp;'P&amp;L_Forecast'!M$7,AP_aging_tbl[Pay_Date],"&lt;="&amp;'P&amp;L_Forecast'!N$7) / Currency_Denominator</f>
        <v>0</v>
      </c>
      <c r="O61" s="8">
        <f>-SUMIFS(AP_aging_tbl[AP_Aging],AP_aging_tbl[Pay_Date],"&gt;"&amp;'P&amp;L_Forecast'!N$7,AP_aging_tbl[Pay_Date],"&lt;="&amp;'P&amp;L_Forecast'!O$7) / Currency_Denominator</f>
        <v>0</v>
      </c>
      <c r="P61" s="8">
        <f>-SUMIFS(AP_aging_tbl[AP_Aging],AP_aging_tbl[Pay_Date],"&gt;"&amp;'P&amp;L_Forecast'!O$7,AP_aging_tbl[Pay_Date],"&lt;="&amp;'P&amp;L_Forecast'!P$7) / Currency_Denominator</f>
        <v>0</v>
      </c>
      <c r="Q61" s="8">
        <f>-SUMIFS(AP_aging_tbl[AP_Aging],AP_aging_tbl[Pay_Date],"&gt;"&amp;'P&amp;L_Forecast'!P$7,AP_aging_tbl[Pay_Date],"&lt;="&amp;'P&amp;L_Forecast'!Q$7) / Currency_Denominator</f>
        <v>0</v>
      </c>
      <c r="R61" s="8">
        <f>-SUMIFS(AP_aging_tbl[AP_Aging],AP_aging_tbl[Pay_Date],"&gt;"&amp;'P&amp;L_Forecast'!Q$7,AP_aging_tbl[Pay_Date],"&lt;="&amp;'P&amp;L_Forecast'!R$7) / Currency_Denominator</f>
        <v>0</v>
      </c>
      <c r="S61" s="8">
        <f>-SUMIFS(AP_aging_tbl[AP_Aging],AP_aging_tbl[Pay_Date],"&gt;"&amp;'P&amp;L_Forecast'!R$7,AP_aging_tbl[Pay_Date],"&lt;="&amp;'P&amp;L_Forecast'!S$7) / Currency_Denominator</f>
        <v>0</v>
      </c>
      <c r="T61" s="8">
        <f>-SUMIFS(AP_aging_tbl[AP_Aging],AP_aging_tbl[Pay_Date],"&gt;"&amp;'P&amp;L_Forecast'!S$7,AP_aging_tbl[Pay_Date],"&lt;="&amp;'P&amp;L_Forecast'!T$7) / Currency_Denominator</f>
        <v>0</v>
      </c>
      <c r="U61" s="8">
        <f>-SUMIFS(AP_aging_tbl[AP_Aging],AP_aging_tbl[Pay_Date],"&gt;"&amp;'P&amp;L_Forecast'!T$7,AP_aging_tbl[Pay_Date],"&lt;="&amp;'P&amp;L_Forecast'!U$7) / Currency_Denominator</f>
        <v>0</v>
      </c>
      <c r="V61" s="8">
        <f>-SUMIFS(AP_aging_tbl[AP_Aging],AP_aging_tbl[Pay_Date],"&gt;"&amp;'P&amp;L_Forecast'!U$7,AP_aging_tbl[Pay_Date],"&lt;="&amp;'P&amp;L_Forecast'!V$7) / Currency_Denominator</f>
        <v>0</v>
      </c>
      <c r="X61" s="8">
        <f>SUM(J61:W61)</f>
        <v>-2871.11</v>
      </c>
    </row>
    <row r="62" spans="1:26" ht="14.25" customHeight="1" x14ac:dyDescent="0.2">
      <c r="B62" s="16" t="s">
        <v>385</v>
      </c>
      <c r="C62" s="1"/>
      <c r="D62" s="1"/>
      <c r="F62" s="9"/>
      <c r="G62" s="9"/>
      <c r="H62" s="9"/>
      <c r="I62" s="145"/>
      <c r="J62" s="8">
        <f t="shared" ref="J62:V62" ca="1" si="51">-OFFSET(J62,-2,-J$166)</f>
        <v>0</v>
      </c>
      <c r="K62" s="8">
        <f t="shared" ca="1" si="51"/>
        <v>-1969.6120068674793</v>
      </c>
      <c r="L62" s="8">
        <f t="shared" ca="1" si="51"/>
        <v>-2748.3116527704392</v>
      </c>
      <c r="M62" s="8">
        <f t="shared" ca="1" si="51"/>
        <v>-357.67533897868333</v>
      </c>
      <c r="N62" s="8">
        <f t="shared" ca="1" si="51"/>
        <v>-1056.7144770841794</v>
      </c>
      <c r="O62" s="8">
        <f t="shared" ca="1" si="51"/>
        <v>-617.74403637563933</v>
      </c>
      <c r="P62" s="8">
        <f t="shared" ca="1" si="51"/>
        <v>-364.35665044118275</v>
      </c>
      <c r="Q62" s="8">
        <f t="shared" ca="1" si="51"/>
        <v>-367.85790296529592</v>
      </c>
      <c r="R62" s="8">
        <f t="shared" ca="1" si="51"/>
        <v>-310.25722559918859</v>
      </c>
      <c r="S62" s="8">
        <f t="shared" ca="1" si="51"/>
        <v>-625.51108416200134</v>
      </c>
      <c r="T62" s="8">
        <f t="shared" ca="1" si="51"/>
        <v>-714.76024292922841</v>
      </c>
      <c r="U62" s="8">
        <f t="shared" ca="1" si="51"/>
        <v>-965.82213912057614</v>
      </c>
      <c r="V62" s="8">
        <f t="shared" ca="1" si="51"/>
        <v>-1409.0602527380306</v>
      </c>
      <c r="X62" s="8">
        <f ca="1">SUM(J62:W62)</f>
        <v>-11507.683010031926</v>
      </c>
      <c r="Z62" s="8"/>
    </row>
    <row r="63" spans="1:26" ht="3.75" customHeight="1" x14ac:dyDescent="0.35">
      <c r="F63" s="9"/>
      <c r="G63" s="9"/>
      <c r="H63" s="9"/>
      <c r="I63" s="144" t="s">
        <v>12</v>
      </c>
      <c r="J63" s="10" t="s">
        <v>12</v>
      </c>
      <c r="K63" s="10" t="s">
        <v>12</v>
      </c>
      <c r="L63" s="10" t="s">
        <v>12</v>
      </c>
      <c r="M63" s="10" t="s">
        <v>12</v>
      </c>
      <c r="N63" s="10" t="s">
        <v>12</v>
      </c>
      <c r="O63" s="10" t="s">
        <v>12</v>
      </c>
      <c r="P63" s="10" t="s">
        <v>12</v>
      </c>
      <c r="Q63" s="10" t="s">
        <v>12</v>
      </c>
      <c r="R63" s="10" t="s">
        <v>12</v>
      </c>
      <c r="S63" s="10" t="s">
        <v>12</v>
      </c>
      <c r="T63" s="10" t="s">
        <v>12</v>
      </c>
      <c r="U63" s="10" t="s">
        <v>12</v>
      </c>
      <c r="V63" s="10" t="s">
        <v>12</v>
      </c>
      <c r="W63" s="8"/>
      <c r="X63" s="10" t="s">
        <v>12</v>
      </c>
    </row>
    <row r="64" spans="1:26" s="1" customFormat="1" ht="14.25" customHeight="1" x14ac:dyDescent="0.2">
      <c r="B64" s="1" t="s">
        <v>26</v>
      </c>
      <c r="F64" s="9"/>
      <c r="G64" s="9"/>
      <c r="H64" s="9"/>
      <c r="I64" s="145">
        <f>AP_aging_tbl[[#Totals],[AP_Aging]]/Currency_Denominator</f>
        <v>2871.11</v>
      </c>
      <c r="J64" s="9">
        <f t="shared" ref="J64:U64" ca="1" si="52">SUM(J59:J63)</f>
        <v>1969.6120068674795</v>
      </c>
      <c r="K64" s="9">
        <f t="shared" ca="1" si="52"/>
        <v>2748.3116527704397</v>
      </c>
      <c r="L64" s="9">
        <f t="shared" ca="1" si="52"/>
        <v>357.67533897868361</v>
      </c>
      <c r="M64" s="9">
        <f t="shared" ca="1" si="52"/>
        <v>1056.7144770841796</v>
      </c>
      <c r="N64" s="9">
        <f t="shared" ca="1" si="52"/>
        <v>617.74403637563955</v>
      </c>
      <c r="O64" s="9">
        <f t="shared" ca="1" si="52"/>
        <v>364.35665044118298</v>
      </c>
      <c r="P64" s="9">
        <f t="shared" ca="1" si="52"/>
        <v>367.85790296529615</v>
      </c>
      <c r="Q64" s="9">
        <f t="shared" ca="1" si="52"/>
        <v>310.25722559918881</v>
      </c>
      <c r="R64" s="9">
        <f t="shared" ca="1" si="52"/>
        <v>625.51108416200157</v>
      </c>
      <c r="S64" s="9">
        <f t="shared" ca="1" si="52"/>
        <v>714.76024292922864</v>
      </c>
      <c r="T64" s="9">
        <f t="shared" ca="1" si="52"/>
        <v>965.82213912057648</v>
      </c>
      <c r="U64" s="9">
        <f t="shared" ca="1" si="52"/>
        <v>1409.0602527380311</v>
      </c>
      <c r="V64" s="9">
        <f t="shared" ref="V64" ca="1" si="53">SUM(V59:V63)</f>
        <v>2120.1320017680882</v>
      </c>
      <c r="X64" s="9">
        <f ca="1">SUM(X59:X63)</f>
        <v>2120.1320017680864</v>
      </c>
    </row>
    <row r="65" spans="1:24" ht="14.25" customHeight="1" x14ac:dyDescent="0.2">
      <c r="B65" s="1"/>
      <c r="C65" s="1"/>
      <c r="I65" s="147"/>
    </row>
    <row r="66" spans="1:24" s="101" customFormat="1" ht="14.25" customHeight="1" x14ac:dyDescent="0.2">
      <c r="A66" s="46"/>
      <c r="B66" s="45" t="s">
        <v>104</v>
      </c>
      <c r="C66" s="45"/>
      <c r="D66" s="46"/>
      <c r="E66" s="46"/>
      <c r="F66" s="46"/>
      <c r="G66" s="46"/>
      <c r="H66" s="46"/>
      <c r="I66" s="150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</row>
    <row r="67" spans="1:24" ht="14.25" customHeight="1" x14ac:dyDescent="0.2">
      <c r="B67" s="1"/>
      <c r="C67" s="1"/>
      <c r="I67" s="147"/>
    </row>
    <row r="68" spans="1:24" s="1" customFormat="1" ht="14.25" customHeight="1" x14ac:dyDescent="0.2">
      <c r="A68" s="49"/>
      <c r="B68" s="49" t="s">
        <v>267</v>
      </c>
      <c r="C68" s="49"/>
      <c r="D68" s="203"/>
      <c r="E68" s="49"/>
      <c r="F68" s="49"/>
      <c r="G68" s="51"/>
      <c r="H68" s="51"/>
      <c r="I68" s="158">
        <v>30</v>
      </c>
      <c r="J68" s="51">
        <f t="shared" ref="J68" si="54">I73</f>
        <v>59.050000000000011</v>
      </c>
      <c r="K68" s="51">
        <f t="shared" ref="K68" si="55">J73</f>
        <v>143.65703559976816</v>
      </c>
      <c r="L68" s="51">
        <f t="shared" ref="L68" si="56">K73</f>
        <v>201.71797411007663</v>
      </c>
      <c r="M68" s="51">
        <f t="shared" ref="M68" si="57">L73</f>
        <v>18.135020219781069</v>
      </c>
      <c r="N68" s="51">
        <f t="shared" ref="N68" si="58">M73</f>
        <v>75.590114519434394</v>
      </c>
      <c r="O68" s="51">
        <f t="shared" ref="O68" si="59">N73</f>
        <v>33.647889889073156</v>
      </c>
      <c r="P68" s="51">
        <f t="shared" ref="P68" si="60">O73</f>
        <v>23.96694323464952</v>
      </c>
      <c r="Q68" s="51">
        <f t="shared" ref="Q68" si="61">P73</f>
        <v>24.228001536886026</v>
      </c>
      <c r="R68" s="51">
        <f t="shared" ref="R68" si="62">Q73</f>
        <v>15.306571351530479</v>
      </c>
      <c r="S68" s="51">
        <f t="shared" ref="S68" si="63">R73</f>
        <v>43.438984345412308</v>
      </c>
      <c r="T68" s="51">
        <f t="shared" ref="T68" si="64">S73</f>
        <v>50.09352688507397</v>
      </c>
      <c r="U68" s="51">
        <f t="shared" ref="U68:V68" si="65">T73</f>
        <v>54.410443386139548</v>
      </c>
      <c r="V68" s="51">
        <f t="shared" si="65"/>
        <v>101.86151007257234</v>
      </c>
      <c r="W68" s="49"/>
      <c r="X68" s="51">
        <f>J68</f>
        <v>59.050000000000011</v>
      </c>
    </row>
    <row r="69" spans="1:24" ht="14.25" customHeight="1" x14ac:dyDescent="0.2">
      <c r="B69" s="16" t="s">
        <v>269</v>
      </c>
      <c r="C69" s="1"/>
      <c r="F69" s="8"/>
      <c r="G69" s="8"/>
      <c r="H69" s="8"/>
      <c r="I69" s="140">
        <f t="shared" ref="I69:W69" si="66">I17</f>
        <v>249</v>
      </c>
      <c r="J69" s="8">
        <f t="shared" si="66"/>
        <v>587.42814239907284</v>
      </c>
      <c r="K69" s="8">
        <f t="shared" si="66"/>
        <v>819.67189644030657</v>
      </c>
      <c r="L69" s="8">
        <f t="shared" si="66"/>
        <v>106.67510109890557</v>
      </c>
      <c r="M69" s="8">
        <f t="shared" si="66"/>
        <v>315.16045807773776</v>
      </c>
      <c r="N69" s="8">
        <f t="shared" si="66"/>
        <v>184.23944944536615</v>
      </c>
      <c r="O69" s="8">
        <f t="shared" si="66"/>
        <v>108.66777293859838</v>
      </c>
      <c r="P69" s="8">
        <f t="shared" si="66"/>
        <v>109.71200614754441</v>
      </c>
      <c r="Q69" s="8">
        <f t="shared" si="66"/>
        <v>92.532856757652766</v>
      </c>
      <c r="R69" s="8">
        <f t="shared" si="66"/>
        <v>186.55593738164956</v>
      </c>
      <c r="S69" s="8">
        <f t="shared" si="66"/>
        <v>213.17410754029623</v>
      </c>
      <c r="T69" s="8">
        <f t="shared" si="66"/>
        <v>288.05221693069819</v>
      </c>
      <c r="U69" s="8">
        <f t="shared" si="66"/>
        <v>420.2460402902899</v>
      </c>
      <c r="V69" s="8">
        <f t="shared" ref="V69" si="67">V17</f>
        <v>632.32007070276302</v>
      </c>
      <c r="W69" s="8">
        <f t="shared" si="66"/>
        <v>0</v>
      </c>
      <c r="X69" s="8">
        <f>SUM(J69:W69)</f>
        <v>4064.4360561508811</v>
      </c>
    </row>
    <row r="70" spans="1:24" ht="14.25" customHeight="1" x14ac:dyDescent="0.2">
      <c r="B70" s="16" t="s">
        <v>272</v>
      </c>
      <c r="C70" s="1"/>
      <c r="F70" s="8"/>
      <c r="G70" s="8"/>
      <c r="H70" s="8"/>
      <c r="I70" s="140">
        <v>-33.200000000000003</v>
      </c>
      <c r="J70" s="8">
        <f t="shared" ref="J70:V70" si="68">-I78</f>
        <v>-62.25</v>
      </c>
      <c r="K70" s="8">
        <f t="shared" si="68"/>
        <v>-146.85703559976821</v>
      </c>
      <c r="L70" s="8">
        <f t="shared" si="68"/>
        <v>-204.91797411007664</v>
      </c>
      <c r="M70" s="8">
        <f t="shared" si="68"/>
        <v>-21.335020219781114</v>
      </c>
      <c r="N70" s="8">
        <f t="shared" si="68"/>
        <v>-78.790114519434439</v>
      </c>
      <c r="O70" s="8">
        <f t="shared" si="68"/>
        <v>-36.84788988907323</v>
      </c>
      <c r="P70" s="8">
        <f t="shared" si="68"/>
        <v>-27.166943234649594</v>
      </c>
      <c r="Q70" s="8">
        <f t="shared" si="68"/>
        <v>-27.428001536886104</v>
      </c>
      <c r="R70" s="8">
        <f t="shared" si="68"/>
        <v>-18.506571351530553</v>
      </c>
      <c r="S70" s="8">
        <f t="shared" si="68"/>
        <v>-46.638984345412389</v>
      </c>
      <c r="T70" s="8">
        <f t="shared" si="68"/>
        <v>-53.293526885074058</v>
      </c>
      <c r="U70" s="8">
        <f t="shared" si="68"/>
        <v>-57.610443386139636</v>
      </c>
      <c r="V70" s="8">
        <f t="shared" si="68"/>
        <v>-105.06151007257247</v>
      </c>
      <c r="W70" s="8"/>
      <c r="X70" s="8">
        <f>SUM(J70:W70)</f>
        <v>-886.70401515039839</v>
      </c>
    </row>
    <row r="71" spans="1:24" ht="14.25" customHeight="1" x14ac:dyDescent="0.2">
      <c r="B71" s="16" t="s">
        <v>273</v>
      </c>
      <c r="C71" s="1"/>
      <c r="D71" s="7"/>
      <c r="F71" s="8"/>
      <c r="G71" s="8"/>
      <c r="H71" s="8"/>
      <c r="I71" s="140">
        <v>-186.75</v>
      </c>
      <c r="J71" s="8">
        <f t="shared" ref="J71:U71" si="69">-J77</f>
        <v>-440.57110679930463</v>
      </c>
      <c r="K71" s="8">
        <f t="shared" si="69"/>
        <v>-614.7539223302299</v>
      </c>
      <c r="L71" s="8">
        <f t="shared" si="69"/>
        <v>-85.340080879124457</v>
      </c>
      <c r="M71" s="8">
        <f t="shared" si="69"/>
        <v>-236.37034355830332</v>
      </c>
      <c r="N71" s="8">
        <f t="shared" si="69"/>
        <v>-147.39155955629292</v>
      </c>
      <c r="O71" s="8">
        <f t="shared" si="69"/>
        <v>-81.500829703948781</v>
      </c>
      <c r="P71" s="8">
        <f t="shared" si="69"/>
        <v>-82.284004610658315</v>
      </c>
      <c r="Q71" s="8">
        <f t="shared" si="69"/>
        <v>-74.026285406122213</v>
      </c>
      <c r="R71" s="8">
        <f t="shared" si="69"/>
        <v>-139.91695303623717</v>
      </c>
      <c r="S71" s="8">
        <f t="shared" si="69"/>
        <v>-159.88058065522216</v>
      </c>
      <c r="T71" s="8">
        <f t="shared" si="69"/>
        <v>-230.44177354455854</v>
      </c>
      <c r="U71" s="8">
        <f t="shared" si="69"/>
        <v>-315.18453021771745</v>
      </c>
      <c r="V71" s="8">
        <f t="shared" ref="V71" si="70">-V77</f>
        <v>-474.24005302707224</v>
      </c>
      <c r="X71" s="8">
        <f>SUM(J71:W71)</f>
        <v>-3081.902023324792</v>
      </c>
    </row>
    <row r="72" spans="1:24" ht="3.75" customHeight="1" x14ac:dyDescent="0.35">
      <c r="F72" s="10"/>
      <c r="G72" s="10"/>
      <c r="H72" s="10"/>
      <c r="I72" s="144" t="s">
        <v>12</v>
      </c>
      <c r="J72" s="10" t="s">
        <v>12</v>
      </c>
      <c r="K72" s="10" t="s">
        <v>12</v>
      </c>
      <c r="L72" s="10" t="s">
        <v>12</v>
      </c>
      <c r="M72" s="10" t="s">
        <v>12</v>
      </c>
      <c r="N72" s="10" t="s">
        <v>12</v>
      </c>
      <c r="O72" s="10" t="s">
        <v>12</v>
      </c>
      <c r="P72" s="10" t="s">
        <v>12</v>
      </c>
      <c r="Q72" s="10" t="s">
        <v>12</v>
      </c>
      <c r="R72" s="10" t="s">
        <v>12</v>
      </c>
      <c r="S72" s="10" t="s">
        <v>12</v>
      </c>
      <c r="T72" s="10" t="s">
        <v>12</v>
      </c>
      <c r="U72" s="10" t="s">
        <v>12</v>
      </c>
      <c r="V72" s="10" t="s">
        <v>12</v>
      </c>
      <c r="W72" s="8"/>
      <c r="X72" s="10" t="s">
        <v>12</v>
      </c>
    </row>
    <row r="73" spans="1:24" s="1" customFormat="1" ht="14.25" customHeight="1" x14ac:dyDescent="0.2">
      <c r="B73" s="1" t="s">
        <v>268</v>
      </c>
      <c r="F73" s="47"/>
      <c r="G73" s="47"/>
      <c r="H73" s="47"/>
      <c r="I73" s="142">
        <f t="shared" ref="I73:U73" si="71">SUM(I68:I72)</f>
        <v>59.050000000000011</v>
      </c>
      <c r="J73" s="47">
        <f t="shared" si="71"/>
        <v>143.65703559976816</v>
      </c>
      <c r="K73" s="47">
        <f t="shared" si="71"/>
        <v>201.71797411007663</v>
      </c>
      <c r="L73" s="47">
        <f t="shared" si="71"/>
        <v>18.135020219781069</v>
      </c>
      <c r="M73" s="47">
        <f t="shared" si="71"/>
        <v>75.590114519434394</v>
      </c>
      <c r="N73" s="47">
        <f t="shared" si="71"/>
        <v>33.647889889073156</v>
      </c>
      <c r="O73" s="47">
        <f t="shared" si="71"/>
        <v>23.96694323464952</v>
      </c>
      <c r="P73" s="47">
        <f t="shared" si="71"/>
        <v>24.228001536886026</v>
      </c>
      <c r="Q73" s="47">
        <f t="shared" si="71"/>
        <v>15.306571351530479</v>
      </c>
      <c r="R73" s="47">
        <f t="shared" si="71"/>
        <v>43.438984345412308</v>
      </c>
      <c r="S73" s="47">
        <f t="shared" si="71"/>
        <v>50.09352688507397</v>
      </c>
      <c r="T73" s="47">
        <f t="shared" si="71"/>
        <v>54.410443386139548</v>
      </c>
      <c r="U73" s="47">
        <f t="shared" si="71"/>
        <v>101.86151007257234</v>
      </c>
      <c r="V73" s="47">
        <f t="shared" ref="V73" si="72">SUM(V68:V72)</f>
        <v>154.88001767569062</v>
      </c>
      <c r="X73" s="9">
        <f>SUM(X68:X72)</f>
        <v>154.88001767569085</v>
      </c>
    </row>
    <row r="74" spans="1:24" s="1" customFormat="1" ht="14.25" customHeight="1" x14ac:dyDescent="0.2">
      <c r="F74" s="4"/>
      <c r="G74" s="4"/>
      <c r="H74" s="4"/>
      <c r="I74" s="142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X74" s="9"/>
    </row>
    <row r="75" spans="1:24" ht="14.25" customHeight="1" x14ac:dyDescent="0.2">
      <c r="B75" s="14" t="s">
        <v>349</v>
      </c>
      <c r="C75" s="14"/>
      <c r="I75" s="156">
        <f t="shared" ref="I75:U75" si="73">I69/I149</f>
        <v>62.25</v>
      </c>
      <c r="J75" s="92">
        <f t="shared" si="73"/>
        <v>146.85703559976821</v>
      </c>
      <c r="K75" s="92">
        <f t="shared" si="73"/>
        <v>204.91797411007664</v>
      </c>
      <c r="L75" s="92">
        <f t="shared" si="73"/>
        <v>21.335020219781114</v>
      </c>
      <c r="M75" s="92">
        <f t="shared" si="73"/>
        <v>78.790114519434439</v>
      </c>
      <c r="N75" s="92">
        <f t="shared" si="73"/>
        <v>36.84788988907323</v>
      </c>
      <c r="O75" s="92">
        <f t="shared" si="73"/>
        <v>27.166943234649594</v>
      </c>
      <c r="P75" s="92">
        <f t="shared" si="73"/>
        <v>27.428001536886104</v>
      </c>
      <c r="Q75" s="92">
        <f t="shared" si="73"/>
        <v>18.506571351530553</v>
      </c>
      <c r="R75" s="92">
        <f t="shared" si="73"/>
        <v>46.638984345412389</v>
      </c>
      <c r="S75" s="92">
        <f t="shared" si="73"/>
        <v>53.293526885074058</v>
      </c>
      <c r="T75" s="92">
        <f t="shared" si="73"/>
        <v>57.610443386139636</v>
      </c>
      <c r="U75" s="92">
        <f t="shared" si="73"/>
        <v>105.06151007257247</v>
      </c>
      <c r="V75" s="92">
        <f t="shared" ref="V75" si="74">V69/V149</f>
        <v>158.08001767569075</v>
      </c>
    </row>
    <row r="76" spans="1:24" ht="14.25" customHeight="1" x14ac:dyDescent="0.2">
      <c r="B76" s="1"/>
      <c r="C76" s="1"/>
      <c r="I76" s="156"/>
      <c r="J76" s="92"/>
      <c r="K76" s="92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</row>
    <row r="77" spans="1:24" ht="14.25" customHeight="1" x14ac:dyDescent="0.2">
      <c r="B77" s="4" t="s">
        <v>350</v>
      </c>
      <c r="I77" s="156">
        <f t="shared" ref="I77:U77" si="75">I75*(I149-1)</f>
        <v>186.75</v>
      </c>
      <c r="J77" s="92">
        <f t="shared" si="75"/>
        <v>440.57110679930463</v>
      </c>
      <c r="K77" s="92">
        <f t="shared" si="75"/>
        <v>614.7539223302299</v>
      </c>
      <c r="L77" s="92">
        <f t="shared" si="75"/>
        <v>85.340080879124457</v>
      </c>
      <c r="M77" s="92">
        <f t="shared" si="75"/>
        <v>236.37034355830332</v>
      </c>
      <c r="N77" s="92">
        <f t="shared" si="75"/>
        <v>147.39155955629292</v>
      </c>
      <c r="O77" s="92">
        <f t="shared" si="75"/>
        <v>81.500829703948781</v>
      </c>
      <c r="P77" s="92">
        <f t="shared" si="75"/>
        <v>82.284004610658315</v>
      </c>
      <c r="Q77" s="92">
        <f t="shared" si="75"/>
        <v>74.026285406122213</v>
      </c>
      <c r="R77" s="92">
        <f t="shared" si="75"/>
        <v>139.91695303623717</v>
      </c>
      <c r="S77" s="92">
        <f t="shared" si="75"/>
        <v>159.88058065522216</v>
      </c>
      <c r="T77" s="92">
        <f t="shared" si="75"/>
        <v>230.44177354455854</v>
      </c>
      <c r="U77" s="92">
        <f t="shared" si="75"/>
        <v>315.18453021771745</v>
      </c>
      <c r="V77" s="92">
        <f t="shared" ref="V77" si="76">V75*(V149-1)</f>
        <v>474.24005302707224</v>
      </c>
    </row>
    <row r="78" spans="1:24" ht="14.25" customHeight="1" x14ac:dyDescent="0.2">
      <c r="B78" s="4" t="s">
        <v>351</v>
      </c>
      <c r="I78" s="156">
        <f t="shared" ref="I78:U78" si="77">I75</f>
        <v>62.25</v>
      </c>
      <c r="J78" s="92">
        <f t="shared" si="77"/>
        <v>146.85703559976821</v>
      </c>
      <c r="K78" s="92">
        <f t="shared" si="77"/>
        <v>204.91797411007664</v>
      </c>
      <c r="L78" s="92">
        <f t="shared" si="77"/>
        <v>21.335020219781114</v>
      </c>
      <c r="M78" s="92">
        <f t="shared" si="77"/>
        <v>78.790114519434439</v>
      </c>
      <c r="N78" s="92">
        <f t="shared" si="77"/>
        <v>36.84788988907323</v>
      </c>
      <c r="O78" s="92">
        <f t="shared" si="77"/>
        <v>27.166943234649594</v>
      </c>
      <c r="P78" s="92">
        <f t="shared" si="77"/>
        <v>27.428001536886104</v>
      </c>
      <c r="Q78" s="92">
        <f t="shared" si="77"/>
        <v>18.506571351530553</v>
      </c>
      <c r="R78" s="92">
        <f t="shared" si="77"/>
        <v>46.638984345412389</v>
      </c>
      <c r="S78" s="92">
        <f t="shared" si="77"/>
        <v>53.293526885074058</v>
      </c>
      <c r="T78" s="92">
        <f t="shared" si="77"/>
        <v>57.610443386139636</v>
      </c>
      <c r="U78" s="92">
        <f t="shared" si="77"/>
        <v>105.06151007257247</v>
      </c>
      <c r="V78" s="92">
        <f t="shared" ref="V78" si="78">V75</f>
        <v>158.08001767569075</v>
      </c>
    </row>
    <row r="79" spans="1:24" ht="3.75" customHeight="1" x14ac:dyDescent="0.35">
      <c r="I79" s="144" t="s">
        <v>12</v>
      </c>
      <c r="J79" s="10" t="s">
        <v>12</v>
      </c>
      <c r="K79" s="10" t="s">
        <v>12</v>
      </c>
      <c r="L79" s="10" t="s">
        <v>12</v>
      </c>
      <c r="M79" s="10" t="s">
        <v>12</v>
      </c>
      <c r="N79" s="10" t="s">
        <v>12</v>
      </c>
      <c r="O79" s="10" t="s">
        <v>12</v>
      </c>
      <c r="P79" s="10" t="s">
        <v>12</v>
      </c>
      <c r="Q79" s="10" t="s">
        <v>12</v>
      </c>
      <c r="R79" s="10" t="s">
        <v>12</v>
      </c>
      <c r="S79" s="10" t="s">
        <v>12</v>
      </c>
      <c r="T79" s="10" t="s">
        <v>12</v>
      </c>
      <c r="U79" s="10" t="s">
        <v>12</v>
      </c>
      <c r="V79" s="10" t="s">
        <v>12</v>
      </c>
      <c r="W79" s="8"/>
    </row>
    <row r="80" spans="1:24" ht="14.25" customHeight="1" x14ac:dyDescent="0.2">
      <c r="B80" s="1" t="s">
        <v>352</v>
      </c>
      <c r="I80" s="157">
        <f t="shared" ref="I80:U80" si="79">SUM(I77:I78)</f>
        <v>249</v>
      </c>
      <c r="J80" s="102">
        <f t="shared" si="79"/>
        <v>587.42814239907284</v>
      </c>
      <c r="K80" s="102">
        <f t="shared" si="79"/>
        <v>819.67189644030657</v>
      </c>
      <c r="L80" s="102">
        <f t="shared" si="79"/>
        <v>106.67510109890557</v>
      </c>
      <c r="M80" s="102">
        <f t="shared" si="79"/>
        <v>315.16045807773776</v>
      </c>
      <c r="N80" s="102">
        <f t="shared" si="79"/>
        <v>184.23944944536615</v>
      </c>
      <c r="O80" s="102">
        <f t="shared" si="79"/>
        <v>108.66777293859838</v>
      </c>
      <c r="P80" s="102">
        <f t="shared" si="79"/>
        <v>109.71200614754441</v>
      </c>
      <c r="Q80" s="102">
        <f t="shared" si="79"/>
        <v>92.532856757652766</v>
      </c>
      <c r="R80" s="102">
        <f t="shared" si="79"/>
        <v>186.55593738164956</v>
      </c>
      <c r="S80" s="102">
        <f t="shared" si="79"/>
        <v>213.17410754029623</v>
      </c>
      <c r="T80" s="102">
        <f t="shared" si="79"/>
        <v>288.05221693069819</v>
      </c>
      <c r="U80" s="102">
        <f t="shared" si="79"/>
        <v>420.2460402902899</v>
      </c>
      <c r="V80" s="102">
        <f t="shared" ref="V80" si="80">SUM(V77:V78)</f>
        <v>632.32007070276302</v>
      </c>
    </row>
    <row r="81" spans="1:24" s="1" customFormat="1" ht="14.25" customHeight="1" x14ac:dyDescent="0.2">
      <c r="F81" s="4"/>
      <c r="G81" s="4"/>
      <c r="H81" s="4"/>
      <c r="I81" s="142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X81" s="9"/>
    </row>
    <row r="82" spans="1:24" s="1" customFormat="1" ht="14.25" customHeight="1" x14ac:dyDescent="0.2">
      <c r="A82" s="49"/>
      <c r="B82" s="49" t="s">
        <v>105</v>
      </c>
      <c r="C82" s="49"/>
      <c r="D82" s="49"/>
      <c r="E82" s="49"/>
      <c r="F82" s="49"/>
      <c r="G82" s="51"/>
      <c r="H82" s="51"/>
      <c r="I82" s="158">
        <v>90</v>
      </c>
      <c r="J82" s="51">
        <f t="shared" ref="J82:V82" si="81">I87</f>
        <v>126.28629032258064</v>
      </c>
      <c r="K82" s="51">
        <f t="shared" si="81"/>
        <v>131.24129032258065</v>
      </c>
      <c r="L82" s="51">
        <f t="shared" si="81"/>
        <v>131.24129032258065</v>
      </c>
      <c r="M82" s="51">
        <f t="shared" si="81"/>
        <v>131.24129032258065</v>
      </c>
      <c r="N82" s="51">
        <f t="shared" si="81"/>
        <v>133.71629032258068</v>
      </c>
      <c r="O82" s="51">
        <f t="shared" si="81"/>
        <v>135.57254032258066</v>
      </c>
      <c r="P82" s="51">
        <f t="shared" si="81"/>
        <v>142.99754032258068</v>
      </c>
      <c r="Q82" s="51">
        <f t="shared" si="81"/>
        <v>144.64754032258065</v>
      </c>
      <c r="R82" s="51">
        <f t="shared" si="81"/>
        <v>150.21629032258068</v>
      </c>
      <c r="S82" s="51">
        <f t="shared" si="81"/>
        <v>150.21629032258068</v>
      </c>
      <c r="T82" s="51">
        <f t="shared" si="81"/>
        <v>149.18504032258068</v>
      </c>
      <c r="U82" s="51">
        <f t="shared" si="81"/>
        <v>149.18504032258068</v>
      </c>
      <c r="V82" s="51">
        <f t="shared" si="81"/>
        <v>149.18504032258068</v>
      </c>
      <c r="W82" s="49"/>
      <c r="X82" s="51">
        <f>J82</f>
        <v>126.28629032258064</v>
      </c>
    </row>
    <row r="83" spans="1:24" ht="14.25" customHeight="1" x14ac:dyDescent="0.2">
      <c r="B83" s="16" t="s">
        <v>73</v>
      </c>
      <c r="C83" s="1"/>
      <c r="F83" s="8"/>
      <c r="G83" s="8"/>
      <c r="H83" s="8"/>
      <c r="I83" s="140">
        <v>164</v>
      </c>
      <c r="J83" s="8">
        <f t="shared" ref="J83:U83" si="82">J25</f>
        <v>173.91</v>
      </c>
      <c r="K83" s="8">
        <f t="shared" si="82"/>
        <v>173.91</v>
      </c>
      <c r="L83" s="8">
        <f t="shared" si="82"/>
        <v>173.91</v>
      </c>
      <c r="M83" s="8">
        <f t="shared" si="82"/>
        <v>178.86</v>
      </c>
      <c r="N83" s="8">
        <f t="shared" si="82"/>
        <v>182.57249999999999</v>
      </c>
      <c r="O83" s="8">
        <f t="shared" si="82"/>
        <v>197.42250000000001</v>
      </c>
      <c r="P83" s="8">
        <f t="shared" si="82"/>
        <v>200.7225</v>
      </c>
      <c r="Q83" s="8">
        <f t="shared" si="82"/>
        <v>211.86</v>
      </c>
      <c r="R83" s="8">
        <f t="shared" si="82"/>
        <v>211.86</v>
      </c>
      <c r="S83" s="8">
        <f t="shared" si="82"/>
        <v>209.79750000000001</v>
      </c>
      <c r="T83" s="8">
        <f t="shared" si="82"/>
        <v>209.79750000000001</v>
      </c>
      <c r="U83" s="8">
        <f t="shared" si="82"/>
        <v>209.79750000000001</v>
      </c>
      <c r="V83" s="8">
        <f t="shared" ref="V83" si="83">V25</f>
        <v>209.79750000000001</v>
      </c>
      <c r="X83" s="8">
        <f>SUM(J83:W83)</f>
        <v>2544.2175000000007</v>
      </c>
    </row>
    <row r="84" spans="1:24" ht="14.25" customHeight="1" x14ac:dyDescent="0.2">
      <c r="B84" s="16" t="s">
        <v>110</v>
      </c>
      <c r="C84" s="1"/>
      <c r="F84" s="8"/>
      <c r="G84" s="8"/>
      <c r="H84" s="8"/>
      <c r="I84" s="140">
        <v>-43.713709677419359</v>
      </c>
      <c r="J84" s="8">
        <f>-((DAYS360(H7,I7)/2)/(DAYS360(H7,I7))*I83)</f>
        <v>-82</v>
      </c>
      <c r="K84" s="8">
        <f t="shared" ref="K84:V84" si="84">-((DAYS360(I7,J7)/2)/(DAYS360(I7,J7))*J83)</f>
        <v>-86.954999999999998</v>
      </c>
      <c r="L84" s="8">
        <f t="shared" si="84"/>
        <v>-86.954999999999998</v>
      </c>
      <c r="M84" s="8">
        <f t="shared" si="84"/>
        <v>-86.954999999999998</v>
      </c>
      <c r="N84" s="8">
        <f t="shared" si="84"/>
        <v>-89.43</v>
      </c>
      <c r="O84" s="8">
        <f t="shared" si="84"/>
        <v>-91.286249999999995</v>
      </c>
      <c r="P84" s="8">
        <f t="shared" si="84"/>
        <v>-98.711250000000007</v>
      </c>
      <c r="Q84" s="8">
        <f t="shared" si="84"/>
        <v>-100.36125</v>
      </c>
      <c r="R84" s="8">
        <f t="shared" si="84"/>
        <v>-105.93</v>
      </c>
      <c r="S84" s="8">
        <f t="shared" si="84"/>
        <v>-105.93</v>
      </c>
      <c r="T84" s="8">
        <f t="shared" si="84"/>
        <v>-104.89875000000001</v>
      </c>
      <c r="U84" s="8">
        <f t="shared" si="84"/>
        <v>-104.89875000000001</v>
      </c>
      <c r="V84" s="8">
        <f t="shared" si="84"/>
        <v>-104.89875000000001</v>
      </c>
      <c r="X84" s="8">
        <f t="shared" ref="X84:X85" si="85">SUM(J84:W84)</f>
        <v>-1249.2100000000003</v>
      </c>
    </row>
    <row r="85" spans="1:24" ht="14.25" customHeight="1" x14ac:dyDescent="0.2">
      <c r="B85" s="16" t="s">
        <v>109</v>
      </c>
      <c r="C85" s="1"/>
      <c r="D85" s="7"/>
      <c r="F85" s="8"/>
      <c r="G85" s="8"/>
      <c r="H85" s="8"/>
      <c r="I85" s="140">
        <v>-84</v>
      </c>
      <c r="J85" s="8">
        <f>-((DAYS360(I7,J7)/2)/(DAYS360(I7,J7))*J83)</f>
        <v>-86.954999999999998</v>
      </c>
      <c r="K85" s="8">
        <f t="shared" ref="K85:V85" si="86">-((DAYS360(J7,K7)/2)/(DAYS360(J7,K7))*K83)</f>
        <v>-86.954999999999998</v>
      </c>
      <c r="L85" s="8">
        <f t="shared" si="86"/>
        <v>-86.954999999999998</v>
      </c>
      <c r="M85" s="8">
        <f t="shared" si="86"/>
        <v>-89.43</v>
      </c>
      <c r="N85" s="8">
        <f t="shared" si="86"/>
        <v>-91.286249999999995</v>
      </c>
      <c r="O85" s="8">
        <f t="shared" si="86"/>
        <v>-98.711250000000007</v>
      </c>
      <c r="P85" s="8">
        <f t="shared" si="86"/>
        <v>-100.36125</v>
      </c>
      <c r="Q85" s="8">
        <f t="shared" si="86"/>
        <v>-105.93</v>
      </c>
      <c r="R85" s="8">
        <f t="shared" si="86"/>
        <v>-105.93</v>
      </c>
      <c r="S85" s="8">
        <f t="shared" si="86"/>
        <v>-104.89875000000001</v>
      </c>
      <c r="T85" s="8">
        <f t="shared" si="86"/>
        <v>-104.89875000000001</v>
      </c>
      <c r="U85" s="8">
        <f t="shared" si="86"/>
        <v>-104.89875000000001</v>
      </c>
      <c r="V85" s="8">
        <f t="shared" si="86"/>
        <v>-104.89875000000001</v>
      </c>
      <c r="X85" s="8">
        <f t="shared" si="85"/>
        <v>-1272.1087500000003</v>
      </c>
    </row>
    <row r="86" spans="1:24" ht="3.75" customHeight="1" x14ac:dyDescent="0.35">
      <c r="F86" s="10"/>
      <c r="G86" s="10"/>
      <c r="H86" s="10"/>
      <c r="I86" s="144" t="s">
        <v>12</v>
      </c>
      <c r="J86" s="10" t="s">
        <v>12</v>
      </c>
      <c r="K86" s="10" t="s">
        <v>12</v>
      </c>
      <c r="L86" s="10" t="s">
        <v>12</v>
      </c>
      <c r="M86" s="10" t="s">
        <v>12</v>
      </c>
      <c r="N86" s="10" t="s">
        <v>12</v>
      </c>
      <c r="O86" s="10" t="s">
        <v>12</v>
      </c>
      <c r="P86" s="10" t="s">
        <v>12</v>
      </c>
      <c r="Q86" s="10" t="s">
        <v>12</v>
      </c>
      <c r="R86" s="10" t="s">
        <v>12</v>
      </c>
      <c r="S86" s="10" t="s">
        <v>12</v>
      </c>
      <c r="T86" s="10" t="s">
        <v>12</v>
      </c>
      <c r="U86" s="10" t="s">
        <v>12</v>
      </c>
      <c r="V86" s="10" t="s">
        <v>12</v>
      </c>
      <c r="W86" s="8"/>
      <c r="X86" s="10" t="s">
        <v>12</v>
      </c>
    </row>
    <row r="87" spans="1:24" s="1" customFormat="1" ht="14.25" customHeight="1" x14ac:dyDescent="0.2">
      <c r="B87" s="1" t="s">
        <v>106</v>
      </c>
      <c r="F87" s="47"/>
      <c r="G87" s="47"/>
      <c r="H87" s="47"/>
      <c r="I87" s="142">
        <f t="shared" ref="I87:U87" si="87">SUM(I82:I86)</f>
        <v>126.28629032258064</v>
      </c>
      <c r="J87" s="47">
        <f t="shared" si="87"/>
        <v>131.24129032258065</v>
      </c>
      <c r="K87" s="47">
        <f t="shared" si="87"/>
        <v>131.24129032258065</v>
      </c>
      <c r="L87" s="47">
        <f t="shared" si="87"/>
        <v>131.24129032258065</v>
      </c>
      <c r="M87" s="47">
        <f t="shared" si="87"/>
        <v>133.71629032258068</v>
      </c>
      <c r="N87" s="47">
        <f t="shared" si="87"/>
        <v>135.57254032258066</v>
      </c>
      <c r="O87" s="47">
        <f t="shared" si="87"/>
        <v>142.99754032258068</v>
      </c>
      <c r="P87" s="47">
        <f t="shared" si="87"/>
        <v>144.64754032258065</v>
      </c>
      <c r="Q87" s="47">
        <f t="shared" si="87"/>
        <v>150.21629032258068</v>
      </c>
      <c r="R87" s="47">
        <f t="shared" si="87"/>
        <v>150.21629032258068</v>
      </c>
      <c r="S87" s="47">
        <f t="shared" si="87"/>
        <v>149.18504032258068</v>
      </c>
      <c r="T87" s="47">
        <f t="shared" si="87"/>
        <v>149.18504032258068</v>
      </c>
      <c r="U87" s="47">
        <f t="shared" si="87"/>
        <v>149.18504032258068</v>
      </c>
      <c r="V87" s="47">
        <f t="shared" ref="V87" si="88">SUM(V82:V86)</f>
        <v>149.18504032258068</v>
      </c>
      <c r="X87" s="9">
        <f>U87</f>
        <v>149.18504032258068</v>
      </c>
    </row>
    <row r="88" spans="1:24" ht="14.25" customHeight="1" x14ac:dyDescent="0.2">
      <c r="B88" s="1"/>
      <c r="C88" s="1"/>
      <c r="I88" s="147"/>
    </row>
    <row r="89" spans="1:24" s="1" customFormat="1" ht="14.25" customHeight="1" x14ac:dyDescent="0.2">
      <c r="A89" s="49"/>
      <c r="B89" s="49" t="s">
        <v>107</v>
      </c>
      <c r="C89" s="49"/>
      <c r="D89" s="49"/>
      <c r="E89" s="49"/>
      <c r="F89" s="51"/>
      <c r="G89" s="51"/>
      <c r="H89" s="51"/>
      <c r="I89" s="158">
        <v>346</v>
      </c>
      <c r="J89" s="51">
        <f t="shared" ref="J89:V89" si="89">I93</f>
        <v>0</v>
      </c>
      <c r="K89" s="51">
        <f t="shared" si="89"/>
        <v>25.41825</v>
      </c>
      <c r="L89" s="51">
        <f t="shared" si="89"/>
        <v>50.836500000000001</v>
      </c>
      <c r="M89" s="51">
        <f t="shared" si="89"/>
        <v>72.876374999999996</v>
      </c>
      <c r="N89" s="51">
        <f t="shared" si="89"/>
        <v>99.643499999999989</v>
      </c>
      <c r="O89" s="51">
        <f t="shared" si="89"/>
        <v>127.2459375</v>
      </c>
      <c r="P89" s="51">
        <f t="shared" si="89"/>
        <v>158.66694642857144</v>
      </c>
      <c r="Q89" s="51">
        <f t="shared" si="89"/>
        <v>192.43920535714287</v>
      </c>
      <c r="R89" s="51">
        <f t="shared" si="89"/>
        <v>230.2209642857143</v>
      </c>
      <c r="S89" s="51">
        <f t="shared" si="89"/>
        <v>251.29647321428575</v>
      </c>
      <c r="T89" s="51">
        <f t="shared" si="89"/>
        <v>293.4094821428572</v>
      </c>
      <c r="U89" s="51">
        <f t="shared" si="89"/>
        <v>335.52249107142865</v>
      </c>
      <c r="V89" s="51">
        <f t="shared" si="89"/>
        <v>0</v>
      </c>
      <c r="W89" s="49"/>
      <c r="X89" s="51">
        <f>J89</f>
        <v>0</v>
      </c>
    </row>
    <row r="90" spans="1:24" ht="14.25" customHeight="1" x14ac:dyDescent="0.2">
      <c r="B90" s="16" t="s">
        <v>74</v>
      </c>
      <c r="C90" s="1"/>
      <c r="F90" s="8"/>
      <c r="G90" s="8"/>
      <c r="H90" s="8"/>
      <c r="I90" s="140">
        <f t="shared" ref="I90:U90" si="90">I26</f>
        <v>14</v>
      </c>
      <c r="J90" s="8">
        <f t="shared" si="90"/>
        <v>25.41825</v>
      </c>
      <c r="K90" s="8">
        <f t="shared" si="90"/>
        <v>25.41825</v>
      </c>
      <c r="L90" s="8">
        <f t="shared" si="90"/>
        <v>25.41825</v>
      </c>
      <c r="M90" s="8">
        <f t="shared" si="90"/>
        <v>26.767125</v>
      </c>
      <c r="N90" s="8">
        <f t="shared" si="90"/>
        <v>27.602437500000001</v>
      </c>
      <c r="O90" s="8">
        <f t="shared" si="90"/>
        <v>31.421008928571432</v>
      </c>
      <c r="P90" s="8">
        <f t="shared" si="90"/>
        <v>33.772258928571432</v>
      </c>
      <c r="Q90" s="8">
        <f t="shared" si="90"/>
        <v>37.781758928571435</v>
      </c>
      <c r="R90" s="8">
        <f t="shared" si="90"/>
        <v>37.781758928571435</v>
      </c>
      <c r="S90" s="8">
        <f t="shared" si="90"/>
        <v>42.113008928571432</v>
      </c>
      <c r="T90" s="8">
        <f t="shared" si="90"/>
        <v>42.113008928571432</v>
      </c>
      <c r="U90" s="8">
        <f t="shared" si="90"/>
        <v>42.113008928571432</v>
      </c>
      <c r="V90" s="8">
        <f t="shared" ref="V90" si="91">V26</f>
        <v>38.744357142857147</v>
      </c>
      <c r="X90" s="8">
        <f>SUM(J90:W90)</f>
        <v>436.46448214285726</v>
      </c>
    </row>
    <row r="91" spans="1:24" ht="14.25" customHeight="1" x14ac:dyDescent="0.2">
      <c r="B91" s="16" t="s">
        <v>75</v>
      </c>
      <c r="C91" s="1"/>
      <c r="D91" s="7"/>
      <c r="F91" s="8"/>
      <c r="G91" s="8"/>
      <c r="H91" s="8"/>
      <c r="I91" s="140">
        <f>-SUMIFS(payroll_schedule_tbl[Pro_Rata_Bonus], payroll_schedule_tbl[Bonus_Month], MONTH(I$7)) / Currency_Denominator</f>
        <v>-377.63549999999998</v>
      </c>
      <c r="J91" s="8">
        <f>-SUMIFS(payroll_schedule_tbl[Pro_Rata_Bonus], payroll_schedule_tbl[Bonus_Month], MONTH(J$7)) / Currency_Denominator</f>
        <v>0</v>
      </c>
      <c r="K91" s="8">
        <f>-SUMIFS(payroll_schedule_tbl[Pro_Rata_Bonus], payroll_schedule_tbl[Bonus_Month], MONTH(K$7)) / Currency_Denominator</f>
        <v>0</v>
      </c>
      <c r="L91" s="8">
        <f>-SUMIFS(payroll_schedule_tbl[Pro_Rata_Bonus], payroll_schedule_tbl[Bonus_Month], MONTH(L$7)) / Currency_Denominator</f>
        <v>-3.3783750000000001</v>
      </c>
      <c r="M91" s="8">
        <f>-SUMIFS(payroll_schedule_tbl[Pro_Rata_Bonus], payroll_schedule_tbl[Bonus_Month], MONTH(M$7)) / Currency_Denominator</f>
        <v>0</v>
      </c>
      <c r="N91" s="8">
        <f>-SUMIFS(payroll_schedule_tbl[Pro_Rata_Bonus], payroll_schedule_tbl[Bonus_Month], MONTH(N$7)) / Currency_Denominator</f>
        <v>0</v>
      </c>
      <c r="O91" s="8">
        <f>-SUMIFS(payroll_schedule_tbl[Pro_Rata_Bonus], payroll_schedule_tbl[Bonus_Month], MONTH(O$7)) / Currency_Denominator</f>
        <v>0</v>
      </c>
      <c r="P91" s="8">
        <f>-SUMIFS(payroll_schedule_tbl[Pro_Rata_Bonus], payroll_schedule_tbl[Bonus_Month], MONTH(P$7)) / Currency_Denominator</f>
        <v>0</v>
      </c>
      <c r="Q91" s="8">
        <f>-SUMIFS(payroll_schedule_tbl[Pro_Rata_Bonus], payroll_schedule_tbl[Bonus_Month], MONTH(Q$7)) / Currency_Denominator</f>
        <v>0</v>
      </c>
      <c r="R91" s="8">
        <f>-SUMIFS(payroll_schedule_tbl[Pro_Rata_Bonus], payroll_schedule_tbl[Bonus_Month], MONTH(R$7)) / Currency_Denominator</f>
        <v>-16.706250000000001</v>
      </c>
      <c r="S91" s="8">
        <f>-SUMIFS(payroll_schedule_tbl[Pro_Rata_Bonus], payroll_schedule_tbl[Bonus_Month], MONTH(S$7)) / Currency_Denominator</f>
        <v>0</v>
      </c>
      <c r="T91" s="8">
        <f>-SUMIFS(payroll_schedule_tbl[Pro_Rata_Bonus], payroll_schedule_tbl[Bonus_Month], MONTH(T$7)) / Currency_Denominator</f>
        <v>0</v>
      </c>
      <c r="U91" s="8">
        <f>-SUMIFS(payroll_schedule_tbl[Pro_Rata_Bonus], payroll_schedule_tbl[Bonus_Month], MONTH(U$7)) / Currency_Denominator</f>
        <v>-377.63549999999998</v>
      </c>
      <c r="V91" s="8">
        <f>-SUMIFS(payroll_schedule_tbl[Pro_Rata_Bonus], payroll_schedule_tbl[Bonus_Month], MONTH(V$7)) / Currency_Denominator</f>
        <v>0</v>
      </c>
      <c r="X91" s="8">
        <f>SUM(J91:W91)</f>
        <v>-397.720125</v>
      </c>
    </row>
    <row r="92" spans="1:24" ht="3.75" customHeight="1" x14ac:dyDescent="0.35">
      <c r="F92" s="10"/>
      <c r="G92" s="10"/>
      <c r="H92" s="10"/>
      <c r="I92" s="144" t="s">
        <v>12</v>
      </c>
      <c r="J92" s="10" t="s">
        <v>12</v>
      </c>
      <c r="K92" s="10" t="s">
        <v>12</v>
      </c>
      <c r="L92" s="10" t="s">
        <v>12</v>
      </c>
      <c r="M92" s="10" t="s">
        <v>12</v>
      </c>
      <c r="N92" s="10" t="s">
        <v>12</v>
      </c>
      <c r="O92" s="10" t="s">
        <v>12</v>
      </c>
      <c r="P92" s="10" t="s">
        <v>12</v>
      </c>
      <c r="Q92" s="10" t="s">
        <v>12</v>
      </c>
      <c r="R92" s="10" t="s">
        <v>12</v>
      </c>
      <c r="S92" s="10" t="s">
        <v>12</v>
      </c>
      <c r="T92" s="10" t="s">
        <v>12</v>
      </c>
      <c r="U92" s="10" t="s">
        <v>12</v>
      </c>
      <c r="V92" s="10" t="s">
        <v>12</v>
      </c>
      <c r="W92" s="8"/>
      <c r="X92" s="10" t="s">
        <v>12</v>
      </c>
    </row>
    <row r="93" spans="1:24" s="1" customFormat="1" ht="14.25" customHeight="1" x14ac:dyDescent="0.2">
      <c r="B93" s="1" t="s">
        <v>108</v>
      </c>
      <c r="F93" s="8"/>
      <c r="G93" s="8"/>
      <c r="H93" s="8"/>
      <c r="I93" s="145">
        <v>0</v>
      </c>
      <c r="J93" s="9">
        <f t="shared" ref="J93" si="92">SUM(J89:J92)</f>
        <v>25.41825</v>
      </c>
      <c r="K93" s="9">
        <f t="shared" ref="K93" si="93">SUM(K89:K92)</f>
        <v>50.836500000000001</v>
      </c>
      <c r="L93" s="9">
        <f t="shared" ref="L93" si="94">SUM(L89:L92)</f>
        <v>72.876374999999996</v>
      </c>
      <c r="M93" s="9">
        <f t="shared" ref="M93" si="95">SUM(M89:M92)</f>
        <v>99.643499999999989</v>
      </c>
      <c r="N93" s="9">
        <f t="shared" ref="N93" si="96">SUM(N89:N92)</f>
        <v>127.2459375</v>
      </c>
      <c r="O93" s="9">
        <f t="shared" ref="O93" si="97">SUM(O89:O92)</f>
        <v>158.66694642857144</v>
      </c>
      <c r="P93" s="9">
        <f t="shared" ref="P93" si="98">SUM(P89:P92)</f>
        <v>192.43920535714287</v>
      </c>
      <c r="Q93" s="9">
        <f t="shared" ref="Q93" si="99">SUM(Q89:Q92)</f>
        <v>230.2209642857143</v>
      </c>
      <c r="R93" s="9">
        <f t="shared" ref="R93" si="100">SUM(R89:R92)</f>
        <v>251.29647321428575</v>
      </c>
      <c r="S93" s="9">
        <f t="shared" ref="S93" si="101">SUM(S89:S92)</f>
        <v>293.4094821428572</v>
      </c>
      <c r="T93" s="9">
        <f t="shared" ref="T93" si="102">SUM(T89:T92)</f>
        <v>335.52249107142865</v>
      </c>
      <c r="U93" s="9">
        <f t="shared" ref="U93:V93" si="103">SUM(U89:U92)</f>
        <v>0</v>
      </c>
      <c r="V93" s="9">
        <f t="shared" si="103"/>
        <v>38.744357142857147</v>
      </c>
      <c r="X93" s="9">
        <f>V93</f>
        <v>38.744357142857147</v>
      </c>
    </row>
    <row r="94" spans="1:24" ht="14.25" customHeight="1" x14ac:dyDescent="0.2">
      <c r="B94" s="1"/>
      <c r="C94" s="1"/>
      <c r="I94" s="147"/>
    </row>
    <row r="95" spans="1:24" s="101" customFormat="1" ht="14.25" customHeight="1" x14ac:dyDescent="0.2">
      <c r="A95" s="46"/>
      <c r="B95" s="45" t="s">
        <v>303</v>
      </c>
      <c r="C95" s="45"/>
      <c r="D95" s="46"/>
      <c r="E95" s="46"/>
      <c r="F95" s="46"/>
      <c r="G95" s="46"/>
      <c r="H95" s="46"/>
      <c r="I95" s="150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</row>
    <row r="96" spans="1:24" ht="14.25" customHeight="1" x14ac:dyDescent="0.2">
      <c r="B96" s="1"/>
      <c r="C96" s="1"/>
      <c r="I96" s="147"/>
    </row>
    <row r="97" spans="1:24" s="1" customFormat="1" ht="14.25" customHeight="1" x14ac:dyDescent="0.2">
      <c r="A97" s="49"/>
      <c r="B97" s="49" t="s">
        <v>304</v>
      </c>
      <c r="C97" s="49"/>
      <c r="D97" s="49"/>
      <c r="E97" s="49"/>
      <c r="F97" s="49"/>
      <c r="G97" s="51"/>
      <c r="H97" s="51"/>
      <c r="I97" s="158">
        <v>138</v>
      </c>
      <c r="J97" s="51">
        <f>I101</f>
        <v>156</v>
      </c>
      <c r="K97" s="51">
        <f t="shared" ref="K97:V97" si="104">J101</f>
        <v>177.37889140084269</v>
      </c>
      <c r="L97" s="51">
        <f t="shared" si="104"/>
        <v>207.26196837381173</v>
      </c>
      <c r="M97" s="51">
        <f t="shared" si="104"/>
        <v>121.11893296229198</v>
      </c>
      <c r="N97" s="51">
        <f t="shared" si="104"/>
        <v>141.24178373544149</v>
      </c>
      <c r="O97" s="51">
        <f t="shared" si="104"/>
        <v>126.24972373476282</v>
      </c>
      <c r="P97" s="51">
        <f t="shared" si="104"/>
        <v>121.25074586996948</v>
      </c>
      <c r="Q97" s="51">
        <f t="shared" si="104"/>
        <v>121.31982067336801</v>
      </c>
      <c r="R97" s="51">
        <f t="shared" si="104"/>
        <v>120.1834400674891</v>
      </c>
      <c r="S97" s="51">
        <f t="shared" si="104"/>
        <v>126.40295669786249</v>
      </c>
      <c r="T97" s="51">
        <f t="shared" si="104"/>
        <v>128.16371746929332</v>
      </c>
      <c r="U97" s="51">
        <f t="shared" si="104"/>
        <v>137.69440908808446</v>
      </c>
      <c r="V97" s="51">
        <f t="shared" si="104"/>
        <v>154.99324507598197</v>
      </c>
      <c r="W97" s="49"/>
      <c r="X97" s="51">
        <f>J97</f>
        <v>156</v>
      </c>
    </row>
    <row r="98" spans="1:24" ht="14.25" customHeight="1" x14ac:dyDescent="0.2">
      <c r="B98" s="16" t="s">
        <v>305</v>
      </c>
      <c r="C98" s="1"/>
      <c r="D98" s="50" t="s">
        <v>314</v>
      </c>
      <c r="I98" s="140">
        <v>56</v>
      </c>
      <c r="J98" s="8">
        <f>SUMIFS(Cost_Expense_Fcst!O$5:O$36,Cost_Expense_Fcst!$AC$5:$AC$36,$D98) / Currency_Denominator</f>
        <v>77.37889140084269</v>
      </c>
      <c r="K98" s="8">
        <f>SUMIFS(Cost_Expense_Fcst!P$5:P$36,Cost_Expense_Fcst!$AC$5:$AC$36,$D98) / Currency_Denominator</f>
        <v>107.26196837381173</v>
      </c>
      <c r="L98" s="8">
        <f>SUMIFS(Cost_Expense_Fcst!Q$5:Q$36,Cost_Expense_Fcst!$AC$5:$AC$36,$D98) / Currency_Denominator</f>
        <v>21.118932962291968</v>
      </c>
      <c r="M98" s="8">
        <f>SUMIFS(Cost_Expense_Fcst!R$5:R$36,Cost_Expense_Fcst!$AC$5:$AC$36,$D98) / Currency_Denominator</f>
        <v>41.241783735441487</v>
      </c>
      <c r="N98" s="8">
        <f>SUMIFS(Cost_Expense_Fcst!S$5:S$36,Cost_Expense_Fcst!$AC$5:$AC$36,$D98) / Currency_Denominator</f>
        <v>26.249723734762824</v>
      </c>
      <c r="O98" s="8">
        <f>SUMIFS(Cost_Expense_Fcst!T$5:T$36,Cost_Expense_Fcst!$AC$5:$AC$36,$D98) / Currency_Denominator</f>
        <v>21.250745869969474</v>
      </c>
      <c r="P98" s="8">
        <f>SUMIFS(Cost_Expense_Fcst!U$5:U$36,Cost_Expense_Fcst!$AC$5:$AC$36,$D98) / Currency_Denominator</f>
        <v>21.319820673368021</v>
      </c>
      <c r="Q98" s="8">
        <f>SUMIFS(Cost_Expense_Fcst!V$5:V$36,Cost_Expense_Fcst!$AC$5:$AC$36,$D98) / Currency_Denominator</f>
        <v>20.183440067489105</v>
      </c>
      <c r="R98" s="8">
        <f>SUMIFS(Cost_Expense_Fcst!W$5:W$36,Cost_Expense_Fcst!$AC$5:$AC$36,$D98) / Currency_Denominator</f>
        <v>26.402956697862496</v>
      </c>
      <c r="S98" s="8">
        <f>SUMIFS(Cost_Expense_Fcst!X$5:X$36,Cost_Expense_Fcst!$AC$5:$AC$36,$D98) / Currency_Denominator</f>
        <v>28.163717469293314</v>
      </c>
      <c r="T98" s="8">
        <f>SUMIFS(Cost_Expense_Fcst!Y$5:Y$36,Cost_Expense_Fcst!$AC$5:$AC$36,$D98) / Currency_Denominator</f>
        <v>37.694409088084441</v>
      </c>
      <c r="U98" s="8">
        <f>SUMIFS(Cost_Expense_Fcst!Z$5:Z$36,Cost_Expense_Fcst!$AC$5:$AC$36,$D98) / Currency_Denominator</f>
        <v>54.993245075981953</v>
      </c>
      <c r="V98" s="8">
        <f>SUMIFS(Cost_Expense_Fcst!AA$5:AA$36,Cost_Expense_Fcst!$AC$5:$AC$36,$D98) / Currency_Denominator</f>
        <v>82.745176113019895</v>
      </c>
      <c r="X98" s="8">
        <f t="shared" ref="X98:X99" si="105">SUM(J98:W98)</f>
        <v>566.0048112622195</v>
      </c>
    </row>
    <row r="99" spans="1:24" ht="14.25" customHeight="1" x14ac:dyDescent="0.2">
      <c r="B99" s="16" t="s">
        <v>306</v>
      </c>
      <c r="C99" s="1"/>
      <c r="I99" s="140">
        <v>-38</v>
      </c>
      <c r="J99" s="8">
        <f>-(SUMIFS($E98:J98,$E161:J161,J$7))</f>
        <v>-56</v>
      </c>
      <c r="K99" s="8">
        <f>-(SUMIFS($E98:K98,$E161:K161,K$7))</f>
        <v>-77.37889140084269</v>
      </c>
      <c r="L99" s="8">
        <f>-(SUMIFS($E98:L98,$E161:L161,L$7))</f>
        <v>-107.26196837381173</v>
      </c>
      <c r="M99" s="8">
        <f>-(SUMIFS($E98:M98,$E161:M161,M$7))</f>
        <v>-21.118932962291968</v>
      </c>
      <c r="N99" s="8">
        <f>-(SUMIFS($E98:N98,$E161:N161,N$7))</f>
        <v>-41.241783735441487</v>
      </c>
      <c r="O99" s="8">
        <f>-(SUMIFS($E98:O98,$E161:O161,O$7))</f>
        <v>-26.249723734762824</v>
      </c>
      <c r="P99" s="8">
        <f>-(SUMIFS($E98:P98,$E161:P161,P$7))</f>
        <v>-21.250745869969474</v>
      </c>
      <c r="Q99" s="8">
        <f>-(SUMIFS($E98:Q98,$E161:Q161,Q$7))</f>
        <v>-21.319820673368021</v>
      </c>
      <c r="R99" s="8">
        <f>-(SUMIFS($E98:R98,$E161:R161,R$7))</f>
        <v>-20.183440067489105</v>
      </c>
      <c r="S99" s="8">
        <f>-(SUMIFS($E98:S98,$E161:S161,S$7))</f>
        <v>-26.402956697862496</v>
      </c>
      <c r="T99" s="8">
        <f>-(SUMIFS($E98:T98,$E161:T161,T$7))</f>
        <v>-28.163717469293314</v>
      </c>
      <c r="U99" s="8">
        <f>-(SUMIFS($E98:U98,$E161:U161,U$7))</f>
        <v>-37.694409088084441</v>
      </c>
      <c r="V99" s="8">
        <f>-(SUMIFS($E98:V98,$E161:V161,V$7))</f>
        <v>-54.993245075981953</v>
      </c>
      <c r="X99" s="8">
        <f t="shared" si="105"/>
        <v>-539.25963514919965</v>
      </c>
    </row>
    <row r="100" spans="1:24" ht="3.75" customHeight="1" x14ac:dyDescent="0.35">
      <c r="F100" s="10"/>
      <c r="G100" s="10"/>
      <c r="H100" s="10"/>
      <c r="I100" s="144" t="s">
        <v>12</v>
      </c>
      <c r="J100" s="10" t="s">
        <v>12</v>
      </c>
      <c r="K100" s="10" t="s">
        <v>12</v>
      </c>
      <c r="L100" s="10" t="s">
        <v>12</v>
      </c>
      <c r="M100" s="10" t="s">
        <v>12</v>
      </c>
      <c r="N100" s="10" t="s">
        <v>12</v>
      </c>
      <c r="O100" s="10" t="s">
        <v>12</v>
      </c>
      <c r="P100" s="10" t="s">
        <v>12</v>
      </c>
      <c r="Q100" s="10" t="s">
        <v>12</v>
      </c>
      <c r="R100" s="10" t="s">
        <v>12</v>
      </c>
      <c r="S100" s="10" t="s">
        <v>12</v>
      </c>
      <c r="T100" s="10" t="s">
        <v>12</v>
      </c>
      <c r="U100" s="10" t="s">
        <v>12</v>
      </c>
      <c r="V100" s="10" t="s">
        <v>12</v>
      </c>
      <c r="W100" s="8"/>
      <c r="X100" s="10" t="s">
        <v>12</v>
      </c>
    </row>
    <row r="101" spans="1:24" ht="14.25" customHeight="1" x14ac:dyDescent="0.2">
      <c r="B101" s="1" t="s">
        <v>307</v>
      </c>
      <c r="C101" s="1"/>
      <c r="I101" s="145">
        <v>156</v>
      </c>
      <c r="J101" s="9">
        <f t="shared" ref="J101:U101" si="106">SUM(J97:J100)</f>
        <v>177.37889140084269</v>
      </c>
      <c r="K101" s="9">
        <f t="shared" si="106"/>
        <v>207.26196837381173</v>
      </c>
      <c r="L101" s="9">
        <f t="shared" si="106"/>
        <v>121.11893296229198</v>
      </c>
      <c r="M101" s="9">
        <f t="shared" si="106"/>
        <v>141.24178373544149</v>
      </c>
      <c r="N101" s="9">
        <f t="shared" si="106"/>
        <v>126.24972373476282</v>
      </c>
      <c r="O101" s="9">
        <f t="shared" si="106"/>
        <v>121.25074586996948</v>
      </c>
      <c r="P101" s="9">
        <f t="shared" si="106"/>
        <v>121.31982067336801</v>
      </c>
      <c r="Q101" s="9">
        <f t="shared" si="106"/>
        <v>120.1834400674891</v>
      </c>
      <c r="R101" s="9">
        <f t="shared" si="106"/>
        <v>126.40295669786249</v>
      </c>
      <c r="S101" s="9">
        <f t="shared" si="106"/>
        <v>128.16371746929332</v>
      </c>
      <c r="T101" s="9">
        <f t="shared" si="106"/>
        <v>137.69440908808446</v>
      </c>
      <c r="U101" s="9">
        <f t="shared" si="106"/>
        <v>154.99324507598197</v>
      </c>
      <c r="V101" s="9">
        <f t="shared" ref="V101" si="107">SUM(V97:V100)</f>
        <v>182.74517611301994</v>
      </c>
      <c r="X101" s="9">
        <f>SUM(X97:X100)</f>
        <v>182.74517611301985</v>
      </c>
    </row>
    <row r="102" spans="1:24" ht="14.25" customHeight="1" x14ac:dyDescent="0.2">
      <c r="B102" s="1"/>
      <c r="C102" s="1"/>
      <c r="I102" s="147"/>
    </row>
    <row r="103" spans="1:24" s="101" customFormat="1" ht="14.25" customHeight="1" x14ac:dyDescent="0.2">
      <c r="A103" s="46"/>
      <c r="B103" s="45" t="s">
        <v>319</v>
      </c>
      <c r="C103" s="45"/>
      <c r="D103" s="46"/>
      <c r="E103" s="46"/>
      <c r="F103" s="46"/>
      <c r="G103" s="46"/>
      <c r="H103" s="46"/>
      <c r="I103" s="150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</row>
    <row r="104" spans="1:24" ht="14.25" customHeight="1" x14ac:dyDescent="0.2">
      <c r="B104" s="1"/>
      <c r="C104" s="1"/>
      <c r="I104" s="147"/>
    </row>
    <row r="105" spans="1:24" s="1" customFormat="1" ht="14.25" customHeight="1" x14ac:dyDescent="0.2">
      <c r="A105" s="49"/>
      <c r="B105" s="49" t="s">
        <v>320</v>
      </c>
      <c r="C105" s="49"/>
      <c r="D105" s="49"/>
      <c r="E105" s="49"/>
      <c r="F105" s="49"/>
      <c r="G105" s="51"/>
      <c r="H105" s="51"/>
      <c r="I105" s="158"/>
      <c r="J105" s="51">
        <f>I109</f>
        <v>0</v>
      </c>
      <c r="K105" s="51">
        <f t="shared" ref="K105:V105" si="108">J109</f>
        <v>0</v>
      </c>
      <c r="L105" s="51">
        <f t="shared" si="108"/>
        <v>0</v>
      </c>
      <c r="M105" s="51">
        <f t="shared" si="108"/>
        <v>0</v>
      </c>
      <c r="N105" s="51">
        <f t="shared" si="108"/>
        <v>0</v>
      </c>
      <c r="O105" s="51">
        <f t="shared" si="108"/>
        <v>0</v>
      </c>
      <c r="P105" s="51">
        <f t="shared" si="108"/>
        <v>0</v>
      </c>
      <c r="Q105" s="51">
        <f t="shared" si="108"/>
        <v>0</v>
      </c>
      <c r="R105" s="51">
        <f t="shared" si="108"/>
        <v>0</v>
      </c>
      <c r="S105" s="51">
        <f t="shared" si="108"/>
        <v>0</v>
      </c>
      <c r="T105" s="51">
        <f t="shared" si="108"/>
        <v>0</v>
      </c>
      <c r="U105" s="51">
        <f t="shared" si="108"/>
        <v>0</v>
      </c>
      <c r="V105" s="51">
        <f t="shared" si="108"/>
        <v>0</v>
      </c>
      <c r="W105" s="49"/>
      <c r="X105" s="51">
        <f>J105</f>
        <v>0</v>
      </c>
    </row>
    <row r="106" spans="1:24" ht="14.25" customHeight="1" x14ac:dyDescent="0.2">
      <c r="B106" s="16" t="s">
        <v>321</v>
      </c>
      <c r="C106" s="1"/>
      <c r="I106" s="140">
        <v>25</v>
      </c>
      <c r="J106" s="8">
        <f>-(SUMIFS($E107:J107,$E164:J164,J$7))</f>
        <v>25</v>
      </c>
      <c r="K106" s="8">
        <f>-(SUMIFS($E107:K107,$E164:K164,K$7))</f>
        <v>25</v>
      </c>
      <c r="L106" s="8">
        <f>-(SUMIFS($E107:L107,$E164:L164,L$7))</f>
        <v>25</v>
      </c>
      <c r="M106" s="8">
        <f>-(SUMIFS($E107:M107,$E164:M164,M$7))</f>
        <v>25</v>
      </c>
      <c r="N106" s="8">
        <f>-(SUMIFS($E107:N107,$E164:N164,N$7))</f>
        <v>25</v>
      </c>
      <c r="O106" s="8">
        <f>-(SUMIFS($E107:O107,$E164:O164,O$7))</f>
        <v>25</v>
      </c>
      <c r="P106" s="8">
        <f>-(SUMIFS($E107:P107,$E164:P164,P$7))</f>
        <v>25</v>
      </c>
      <c r="Q106" s="8">
        <f>-(SUMIFS($E107:Q107,$E164:Q164,Q$7))</f>
        <v>25</v>
      </c>
      <c r="R106" s="8">
        <f>-(SUMIFS($E107:R107,$E164:R164,R$7))</f>
        <v>25</v>
      </c>
      <c r="S106" s="8">
        <f>-(SUMIFS($E107:S107,$E164:S164,S$7))</f>
        <v>25</v>
      </c>
      <c r="T106" s="8">
        <f>-(SUMIFS($E107:T107,$E164:T164,T$7))</f>
        <v>25</v>
      </c>
      <c r="U106" s="8">
        <f>-(SUMIFS($E107:U107,$E164:U164,U$7))</f>
        <v>25</v>
      </c>
      <c r="V106" s="8">
        <f>-(SUMIFS($E107:V107,$E164:V164,V$7))</f>
        <v>25</v>
      </c>
      <c r="W106" s="8"/>
      <c r="X106" s="8">
        <f t="shared" ref="X106:X107" si="109">SUM(J106:W106)</f>
        <v>325</v>
      </c>
    </row>
    <row r="107" spans="1:24" ht="14.25" customHeight="1" x14ac:dyDescent="0.2">
      <c r="B107" s="16" t="s">
        <v>322</v>
      </c>
      <c r="C107" s="1"/>
      <c r="D107" s="30" t="s">
        <v>324</v>
      </c>
      <c r="I107" s="140">
        <v>-25</v>
      </c>
      <c r="J107" s="8">
        <f>-SUMIFS(Cost_Expense_Fcst!O$5:O$36,Cost_Expense_Fcst!$AC$5:$AC$36,$D107) / Currency_Denominator</f>
        <v>-25</v>
      </c>
      <c r="K107" s="8">
        <f>-SUMIFS(Cost_Expense_Fcst!P$5:P$36,Cost_Expense_Fcst!$AC$5:$AC$36,$D107) / Currency_Denominator</f>
        <v>-25</v>
      </c>
      <c r="L107" s="8">
        <f>-SUMIFS(Cost_Expense_Fcst!Q$5:Q$36,Cost_Expense_Fcst!$AC$5:$AC$36,$D107) / Currency_Denominator</f>
        <v>-25</v>
      </c>
      <c r="M107" s="8">
        <f>-SUMIFS(Cost_Expense_Fcst!R$5:R$36,Cost_Expense_Fcst!$AC$5:$AC$36,$D107) / Currency_Denominator</f>
        <v>-25</v>
      </c>
      <c r="N107" s="8">
        <f>-SUMIFS(Cost_Expense_Fcst!S$5:S$36,Cost_Expense_Fcst!$AC$5:$AC$36,$D107) / Currency_Denominator</f>
        <v>-25</v>
      </c>
      <c r="O107" s="8">
        <f>-SUMIFS(Cost_Expense_Fcst!T$5:T$36,Cost_Expense_Fcst!$AC$5:$AC$36,$D107) / Currency_Denominator</f>
        <v>-25</v>
      </c>
      <c r="P107" s="8">
        <f>-SUMIFS(Cost_Expense_Fcst!U$5:U$36,Cost_Expense_Fcst!$AC$5:$AC$36,$D107) / Currency_Denominator</f>
        <v>-25</v>
      </c>
      <c r="Q107" s="8">
        <f>-SUMIFS(Cost_Expense_Fcst!V$5:V$36,Cost_Expense_Fcst!$AC$5:$AC$36,$D107) / Currency_Denominator</f>
        <v>-25</v>
      </c>
      <c r="R107" s="8">
        <f>-SUMIFS(Cost_Expense_Fcst!W$5:W$36,Cost_Expense_Fcst!$AC$5:$AC$36,$D107) / Currency_Denominator</f>
        <v>-25</v>
      </c>
      <c r="S107" s="8">
        <f>-SUMIFS(Cost_Expense_Fcst!X$5:X$36,Cost_Expense_Fcst!$AC$5:$AC$36,$D107) / Currency_Denominator</f>
        <v>-25</v>
      </c>
      <c r="T107" s="8">
        <f>-SUMIFS(Cost_Expense_Fcst!Y$5:Y$36,Cost_Expense_Fcst!$AC$5:$AC$36,$D107) / Currency_Denominator</f>
        <v>-25</v>
      </c>
      <c r="U107" s="8">
        <f>-SUMIFS(Cost_Expense_Fcst!Z$5:Z$36,Cost_Expense_Fcst!$AC$5:$AC$36,$D107) / Currency_Denominator</f>
        <v>-25</v>
      </c>
      <c r="V107" s="8">
        <f>-SUMIFS(Cost_Expense_Fcst!AA$5:AA$36,Cost_Expense_Fcst!$AC$5:$AC$36,$D107) / Currency_Denominator</f>
        <v>-25</v>
      </c>
      <c r="X107" s="8">
        <f t="shared" si="109"/>
        <v>-325</v>
      </c>
    </row>
    <row r="108" spans="1:24" ht="3.75" customHeight="1" x14ac:dyDescent="0.35">
      <c r="F108" s="10"/>
      <c r="G108" s="10"/>
      <c r="H108" s="10"/>
      <c r="I108" s="144" t="s">
        <v>12</v>
      </c>
      <c r="J108" s="10" t="s">
        <v>12</v>
      </c>
      <c r="K108" s="10" t="s">
        <v>12</v>
      </c>
      <c r="L108" s="10" t="s">
        <v>12</v>
      </c>
      <c r="M108" s="10" t="s">
        <v>12</v>
      </c>
      <c r="N108" s="10" t="s">
        <v>12</v>
      </c>
      <c r="O108" s="10" t="s">
        <v>12</v>
      </c>
      <c r="P108" s="10" t="s">
        <v>12</v>
      </c>
      <c r="Q108" s="10" t="s">
        <v>12</v>
      </c>
      <c r="R108" s="10" t="s">
        <v>12</v>
      </c>
      <c r="S108" s="10" t="s">
        <v>12</v>
      </c>
      <c r="T108" s="10" t="s">
        <v>12</v>
      </c>
      <c r="U108" s="10" t="s">
        <v>12</v>
      </c>
      <c r="V108" s="10" t="s">
        <v>12</v>
      </c>
      <c r="W108" s="8"/>
      <c r="X108" s="10" t="s">
        <v>12</v>
      </c>
    </row>
    <row r="109" spans="1:24" ht="14.25" customHeight="1" x14ac:dyDescent="0.2">
      <c r="B109" s="1" t="s">
        <v>323</v>
      </c>
      <c r="C109" s="1"/>
      <c r="I109" s="145">
        <v>0</v>
      </c>
      <c r="J109" s="9">
        <f t="shared" ref="J109:U109" si="110">SUM(J105:J108)</f>
        <v>0</v>
      </c>
      <c r="K109" s="9">
        <f t="shared" si="110"/>
        <v>0</v>
      </c>
      <c r="L109" s="9">
        <f t="shared" si="110"/>
        <v>0</v>
      </c>
      <c r="M109" s="9">
        <f t="shared" si="110"/>
        <v>0</v>
      </c>
      <c r="N109" s="9">
        <f t="shared" si="110"/>
        <v>0</v>
      </c>
      <c r="O109" s="9">
        <f t="shared" si="110"/>
        <v>0</v>
      </c>
      <c r="P109" s="9">
        <f t="shared" si="110"/>
        <v>0</v>
      </c>
      <c r="Q109" s="9">
        <f t="shared" si="110"/>
        <v>0</v>
      </c>
      <c r="R109" s="9">
        <f t="shared" si="110"/>
        <v>0</v>
      </c>
      <c r="S109" s="9">
        <f t="shared" si="110"/>
        <v>0</v>
      </c>
      <c r="T109" s="9">
        <f t="shared" si="110"/>
        <v>0</v>
      </c>
      <c r="U109" s="9">
        <f t="shared" si="110"/>
        <v>0</v>
      </c>
      <c r="V109" s="9">
        <f t="shared" ref="V109" si="111">SUM(V105:V108)</f>
        <v>0</v>
      </c>
      <c r="X109" s="9">
        <f t="shared" ref="X109" si="112">SUM(X105:X108)</f>
        <v>0</v>
      </c>
    </row>
    <row r="110" spans="1:24" ht="14.25" customHeight="1" x14ac:dyDescent="0.2">
      <c r="B110" s="1"/>
      <c r="C110" s="1"/>
      <c r="I110" s="147"/>
    </row>
    <row r="111" spans="1:24" s="101" customFormat="1" ht="14.25" customHeight="1" x14ac:dyDescent="0.2">
      <c r="A111" s="46"/>
      <c r="B111" s="45" t="s">
        <v>266</v>
      </c>
      <c r="C111" s="45"/>
      <c r="D111" s="46"/>
      <c r="E111" s="46"/>
      <c r="F111" s="46"/>
      <c r="G111" s="46"/>
      <c r="H111" s="46"/>
      <c r="I111" s="150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</row>
    <row r="112" spans="1:24" ht="14.25" customHeight="1" x14ac:dyDescent="0.2">
      <c r="B112" s="1"/>
      <c r="C112" s="1"/>
      <c r="I112" s="147"/>
    </row>
    <row r="113" spans="1:28" s="1" customFormat="1" ht="14.25" customHeight="1" x14ac:dyDescent="0.2">
      <c r="A113" s="49"/>
      <c r="B113" s="49" t="s">
        <v>276</v>
      </c>
      <c r="C113" s="49"/>
      <c r="D113" s="49"/>
      <c r="E113" s="49"/>
      <c r="F113" s="51"/>
      <c r="G113" s="51"/>
      <c r="H113" s="51"/>
      <c r="I113" s="152"/>
      <c r="J113" s="51">
        <f t="shared" ref="J113" si="113">I117</f>
        <v>5500</v>
      </c>
      <c r="K113" s="51">
        <f t="shared" ref="K113" si="114">J117</f>
        <v>5469.4444444444443</v>
      </c>
      <c r="L113" s="51">
        <f t="shared" ref="L113" si="115">K117</f>
        <v>5518.8888888888887</v>
      </c>
      <c r="M113" s="51">
        <f t="shared" ref="M113" si="116">L117</f>
        <v>5632.8273809523807</v>
      </c>
      <c r="N113" s="51">
        <f t="shared" ref="N113" si="117">M117</f>
        <v>6198.7599206349205</v>
      </c>
      <c r="O113" s="51">
        <f t="shared" ref="O113" si="118">N117</f>
        <v>6162.1924603174602</v>
      </c>
      <c r="P113" s="51">
        <f t="shared" ref="P113" si="119">O117</f>
        <v>6483.4027777777774</v>
      </c>
      <c r="Q113" s="51">
        <f t="shared" ref="Q113" si="120">P117</f>
        <v>6442.3908730158728</v>
      </c>
      <c r="R113" s="51">
        <f t="shared" ref="R113" si="121">Q117</f>
        <v>6401.3789682539682</v>
      </c>
      <c r="S113" s="51">
        <f t="shared" ref="S113" si="122">R117</f>
        <v>6360.3670634920636</v>
      </c>
      <c r="T113" s="51">
        <f t="shared" ref="T113" si="123">S117</f>
        <v>6319.355158730159</v>
      </c>
      <c r="U113" s="51">
        <f t="shared" ref="U113:V113" si="124">T117</f>
        <v>6278.3432539682544</v>
      </c>
      <c r="V113" s="51">
        <f t="shared" si="124"/>
        <v>6237.3313492063498</v>
      </c>
      <c r="W113" s="49"/>
      <c r="X113" s="51">
        <f>J113</f>
        <v>5500</v>
      </c>
      <c r="AB113" s="57"/>
    </row>
    <row r="114" spans="1:28" ht="14.25" customHeight="1" x14ac:dyDescent="0.2">
      <c r="B114" s="16" t="s">
        <v>274</v>
      </c>
      <c r="C114" s="1"/>
      <c r="D114" s="50" t="s">
        <v>334</v>
      </c>
      <c r="F114" s="8"/>
      <c r="G114" s="8"/>
      <c r="H114" s="8"/>
      <c r="I114" s="140"/>
      <c r="J114" s="8">
        <f>Capex!H54 / Currency_Denominator</f>
        <v>0</v>
      </c>
      <c r="K114" s="8">
        <f>Capex!I54 / Currency_Denominator</f>
        <v>80</v>
      </c>
      <c r="L114" s="8">
        <f>Capex!J54 / Currency_Denominator</f>
        <v>145</v>
      </c>
      <c r="M114" s="8">
        <f>Capex!K54 / Currency_Denominator</f>
        <v>600</v>
      </c>
      <c r="N114" s="8">
        <f>Capex!L54 / Currency_Denominator</f>
        <v>0</v>
      </c>
      <c r="O114" s="8">
        <f>Capex!M54 / Currency_Denominator</f>
        <v>360</v>
      </c>
      <c r="P114" s="8">
        <f>Capex!N54 / Currency_Denominator</f>
        <v>0</v>
      </c>
      <c r="Q114" s="8">
        <f>Capex!O54 / Currency_Denominator</f>
        <v>0</v>
      </c>
      <c r="R114" s="8">
        <f>Capex!P54 / Currency_Denominator</f>
        <v>0</v>
      </c>
      <c r="S114" s="8">
        <f>Capex!Q54 / Currency_Denominator</f>
        <v>0</v>
      </c>
      <c r="T114" s="8">
        <f>Capex!R54 / Currency_Denominator</f>
        <v>0</v>
      </c>
      <c r="U114" s="8">
        <f>Capex!S54 / Currency_Denominator</f>
        <v>0</v>
      </c>
      <c r="V114" s="8">
        <f>Capex!T54 / Currency_Denominator</f>
        <v>0</v>
      </c>
      <c r="X114" s="8">
        <f>SUM(J114:W114)</f>
        <v>1185</v>
      </c>
    </row>
    <row r="115" spans="1:28" ht="14.25" customHeight="1" x14ac:dyDescent="0.2">
      <c r="B115" s="16" t="s">
        <v>275</v>
      </c>
      <c r="C115" s="1"/>
      <c r="D115" s="30" t="s">
        <v>340</v>
      </c>
      <c r="F115" s="8"/>
      <c r="G115" s="8"/>
      <c r="H115" s="8"/>
      <c r="I115" s="140"/>
      <c r="J115" s="8">
        <f>-Capex!H56 / Currency_Denominator</f>
        <v>-30.555555555555557</v>
      </c>
      <c r="K115" s="8">
        <f>-Capex!I56 / Currency_Denominator</f>
        <v>-30.555555555555557</v>
      </c>
      <c r="L115" s="8">
        <f>-Capex!J56 / Currency_Denominator</f>
        <v>-31.06150793650794</v>
      </c>
      <c r="M115" s="8">
        <f>-Capex!K56 / Currency_Denominator</f>
        <v>-34.067460317460316</v>
      </c>
      <c r="N115" s="8">
        <f>-Capex!L56 / Currency_Denominator</f>
        <v>-36.567460317460316</v>
      </c>
      <c r="O115" s="8">
        <f>-Capex!M56 / Currency_Denominator</f>
        <v>-38.789682539682545</v>
      </c>
      <c r="P115" s="8">
        <f>-Capex!N56 / Currency_Denominator</f>
        <v>-41.011904761904766</v>
      </c>
      <c r="Q115" s="8">
        <f>-Capex!O56 / Currency_Denominator</f>
        <v>-41.011904761904766</v>
      </c>
      <c r="R115" s="8">
        <f>-Capex!P56 / Currency_Denominator</f>
        <v>-41.011904761904766</v>
      </c>
      <c r="S115" s="8">
        <f>-Capex!Q56 / Currency_Denominator</f>
        <v>-41.011904761904766</v>
      </c>
      <c r="T115" s="8">
        <f>-Capex!R56 / Currency_Denominator</f>
        <v>-41.011904761904766</v>
      </c>
      <c r="U115" s="8">
        <f>-Capex!S56 / Currency_Denominator</f>
        <v>-41.011904761904766</v>
      </c>
      <c r="V115" s="8">
        <f>-Capex!T56 / Currency_Denominator</f>
        <v>0</v>
      </c>
      <c r="X115" s="8">
        <f>SUM(J115:W115)</f>
        <v>-447.66865079365078</v>
      </c>
    </row>
    <row r="116" spans="1:28" ht="3.75" customHeight="1" x14ac:dyDescent="0.35">
      <c r="F116" s="10"/>
      <c r="G116" s="10"/>
      <c r="H116" s="10"/>
      <c r="I116" s="144" t="s">
        <v>12</v>
      </c>
      <c r="J116" s="10" t="s">
        <v>12</v>
      </c>
      <c r="K116" s="10" t="s">
        <v>12</v>
      </c>
      <c r="L116" s="10" t="s">
        <v>12</v>
      </c>
      <c r="M116" s="10" t="s">
        <v>12</v>
      </c>
      <c r="N116" s="10" t="s">
        <v>12</v>
      </c>
      <c r="O116" s="10" t="s">
        <v>12</v>
      </c>
      <c r="P116" s="10" t="s">
        <v>12</v>
      </c>
      <c r="Q116" s="10" t="s">
        <v>12</v>
      </c>
      <c r="R116" s="10" t="s">
        <v>12</v>
      </c>
      <c r="S116" s="10" t="s">
        <v>12</v>
      </c>
      <c r="T116" s="10" t="s">
        <v>12</v>
      </c>
      <c r="U116" s="10" t="s">
        <v>12</v>
      </c>
      <c r="V116" s="10" t="s">
        <v>12</v>
      </c>
      <c r="W116" s="8"/>
      <c r="X116" s="10" t="s">
        <v>12</v>
      </c>
    </row>
    <row r="117" spans="1:28" s="1" customFormat="1" ht="14.25" customHeight="1" x14ac:dyDescent="0.2">
      <c r="B117" s="1" t="s">
        <v>277</v>
      </c>
      <c r="F117" s="9"/>
      <c r="G117" s="9"/>
      <c r="H117" s="9"/>
      <c r="I117" s="145">
        <v>5500</v>
      </c>
      <c r="J117" s="9">
        <f t="shared" ref="J117:U117" si="125">SUM(J113:J116)</f>
        <v>5469.4444444444443</v>
      </c>
      <c r="K117" s="9">
        <f t="shared" si="125"/>
        <v>5518.8888888888887</v>
      </c>
      <c r="L117" s="9">
        <f t="shared" si="125"/>
        <v>5632.8273809523807</v>
      </c>
      <c r="M117" s="9">
        <f t="shared" si="125"/>
        <v>6198.7599206349205</v>
      </c>
      <c r="N117" s="9">
        <f t="shared" si="125"/>
        <v>6162.1924603174602</v>
      </c>
      <c r="O117" s="9">
        <f t="shared" si="125"/>
        <v>6483.4027777777774</v>
      </c>
      <c r="P117" s="9">
        <f t="shared" si="125"/>
        <v>6442.3908730158728</v>
      </c>
      <c r="Q117" s="9">
        <f t="shared" si="125"/>
        <v>6401.3789682539682</v>
      </c>
      <c r="R117" s="9">
        <f t="shared" si="125"/>
        <v>6360.3670634920636</v>
      </c>
      <c r="S117" s="9">
        <f t="shared" si="125"/>
        <v>6319.355158730159</v>
      </c>
      <c r="T117" s="9">
        <f t="shared" si="125"/>
        <v>6278.3432539682544</v>
      </c>
      <c r="U117" s="9">
        <f t="shared" si="125"/>
        <v>6237.3313492063498</v>
      </c>
      <c r="V117" s="9">
        <f t="shared" ref="V117" si="126">SUM(V113:V116)</f>
        <v>6237.3313492063498</v>
      </c>
      <c r="X117" s="9">
        <f>SUM(X113:X116)</f>
        <v>6237.3313492063489</v>
      </c>
    </row>
    <row r="118" spans="1:28" ht="14.25" customHeight="1" x14ac:dyDescent="0.2">
      <c r="B118" s="1"/>
      <c r="C118" s="1"/>
      <c r="I118" s="147"/>
    </row>
    <row r="119" spans="1:28" s="101" customFormat="1" ht="14.25" customHeight="1" x14ac:dyDescent="0.2">
      <c r="A119" s="46"/>
      <c r="B119" s="45" t="s">
        <v>65</v>
      </c>
      <c r="C119" s="45"/>
      <c r="D119" s="46"/>
      <c r="E119" s="46"/>
      <c r="F119" s="46"/>
      <c r="G119" s="46"/>
      <c r="H119" s="46"/>
      <c r="I119" s="150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</row>
    <row r="120" spans="1:28" ht="14.25" customHeight="1" x14ac:dyDescent="0.2">
      <c r="B120" s="1"/>
      <c r="C120" s="1"/>
      <c r="I120" s="147"/>
    </row>
    <row r="121" spans="1:28" s="1" customFormat="1" ht="14.25" customHeight="1" x14ac:dyDescent="0.2">
      <c r="A121" s="49"/>
      <c r="B121" s="49" t="s">
        <v>372</v>
      </c>
      <c r="C121" s="49"/>
      <c r="D121" s="49"/>
      <c r="E121" s="49"/>
      <c r="F121" s="51"/>
      <c r="G121" s="51"/>
      <c r="H121" s="51"/>
      <c r="I121" s="152"/>
      <c r="J121" s="51">
        <f t="shared" ref="J121" si="127">I125</f>
        <v>0</v>
      </c>
      <c r="K121" s="51">
        <f t="shared" ref="K121" ca="1" si="128">J125</f>
        <v>320.36783445104595</v>
      </c>
      <c r="L121" s="51">
        <f t="shared" ref="L121" ca="1" si="129">K125</f>
        <v>797.79092564097095</v>
      </c>
      <c r="M121" s="51">
        <f t="shared" ref="M121" ca="1" si="130">L125</f>
        <v>0</v>
      </c>
      <c r="N121" s="51">
        <f t="shared" ref="N121" ca="1" si="131">M125</f>
        <v>134.48010084592121</v>
      </c>
      <c r="O121" s="51">
        <f t="shared" ref="O121" ca="1" si="132">N125</f>
        <v>178.24811962676554</v>
      </c>
      <c r="P121" s="51">
        <f t="shared" ref="P121" ca="1" si="133">O125</f>
        <v>0</v>
      </c>
      <c r="Q121" s="51">
        <f t="shared" ref="Q121" ca="1" si="134">P125</f>
        <v>-16.484312638427404</v>
      </c>
      <c r="R121" s="51">
        <f t="shared" ref="R121" ca="1" si="135">Q125</f>
        <v>-50.101223431577992</v>
      </c>
      <c r="S121" s="51">
        <f t="shared" ref="S121" ca="1" si="136">R125</f>
        <v>0</v>
      </c>
      <c r="T121" s="51">
        <f t="shared" ref="T121" ca="1" si="137">S125</f>
        <v>49.760120453739333</v>
      </c>
      <c r="U121" s="51">
        <f t="shared" ref="U121:V121" ca="1" si="138">T125</f>
        <v>150.19204451817905</v>
      </c>
      <c r="V121" s="51">
        <f t="shared" ca="1" si="138"/>
        <v>0</v>
      </c>
      <c r="W121" s="49"/>
      <c r="X121" s="51">
        <f>J121</f>
        <v>0</v>
      </c>
    </row>
    <row r="122" spans="1:28" ht="14.25" customHeight="1" x14ac:dyDescent="0.2">
      <c r="B122" s="16" t="s">
        <v>151</v>
      </c>
      <c r="C122" s="1"/>
      <c r="F122" s="8"/>
      <c r="G122" s="8"/>
      <c r="H122" s="8"/>
      <c r="I122" s="140"/>
      <c r="J122" s="8">
        <f t="shared" ref="J122:U122" si="139">J33</f>
        <v>320.36783445104595</v>
      </c>
      <c r="K122" s="8">
        <f t="shared" si="139"/>
        <v>477.423091189925</v>
      </c>
      <c r="L122" s="8">
        <f t="shared" si="139"/>
        <v>-6.6459694159672251</v>
      </c>
      <c r="M122" s="8">
        <f t="shared" si="139"/>
        <v>134.48010084592121</v>
      </c>
      <c r="N122" s="8">
        <f t="shared" si="139"/>
        <v>43.768018780844329</v>
      </c>
      <c r="O122" s="8">
        <f t="shared" si="139"/>
        <v>-15.291250115713085</v>
      </c>
      <c r="P122" s="8">
        <f t="shared" si="139"/>
        <v>-16.484312638427404</v>
      </c>
      <c r="Q122" s="8">
        <f t="shared" si="139"/>
        <v>-33.616910793150588</v>
      </c>
      <c r="R122" s="8">
        <f t="shared" si="139"/>
        <v>31.965071601800187</v>
      </c>
      <c r="S122" s="8">
        <f t="shared" si="139"/>
        <v>49.760120453739333</v>
      </c>
      <c r="T122" s="8">
        <f t="shared" si="139"/>
        <v>100.43192406443973</v>
      </c>
      <c r="U122" s="8">
        <f t="shared" si="139"/>
        <v>189.72987264746058</v>
      </c>
      <c r="V122" s="8">
        <f t="shared" ref="V122" si="140">V33</f>
        <v>334.13285959899127</v>
      </c>
      <c r="X122" s="8">
        <f>SUM(J122:W122)</f>
        <v>1610.0204506709092</v>
      </c>
    </row>
    <row r="123" spans="1:28" ht="14.25" customHeight="1" x14ac:dyDescent="0.2">
      <c r="B123" s="16" t="s">
        <v>370</v>
      </c>
      <c r="C123" s="1"/>
      <c r="D123" s="7"/>
      <c r="F123" s="8"/>
      <c r="G123" s="8"/>
      <c r="H123" s="8"/>
      <c r="I123" s="8"/>
      <c r="J123" s="207">
        <f t="shared" ref="J123:U123" ca="1" si="141">-SUM(OFFSET(J122,,,,-3))*J139</f>
        <v>0</v>
      </c>
      <c r="K123" s="8">
        <f t="shared" ca="1" si="141"/>
        <v>0</v>
      </c>
      <c r="L123" s="8">
        <f t="shared" ca="1" si="141"/>
        <v>-791.14495622500374</v>
      </c>
      <c r="M123" s="8">
        <f t="shared" ca="1" si="141"/>
        <v>0</v>
      </c>
      <c r="N123" s="8">
        <f t="shared" ca="1" si="141"/>
        <v>0</v>
      </c>
      <c r="O123" s="8">
        <f t="shared" ca="1" si="141"/>
        <v>-162.95686951105245</v>
      </c>
      <c r="P123" s="8">
        <f t="shared" ca="1" si="141"/>
        <v>0</v>
      </c>
      <c r="Q123" s="8">
        <f t="shared" ca="1" si="141"/>
        <v>0</v>
      </c>
      <c r="R123" s="8">
        <f t="shared" ca="1" si="141"/>
        <v>18.136151829777805</v>
      </c>
      <c r="S123" s="8">
        <f t="shared" ca="1" si="141"/>
        <v>0</v>
      </c>
      <c r="T123" s="8">
        <f t="shared" ca="1" si="141"/>
        <v>0</v>
      </c>
      <c r="U123" s="8">
        <f t="shared" ca="1" si="141"/>
        <v>-339.92191716563963</v>
      </c>
      <c r="V123" s="8">
        <f t="shared" ref="V123" ca="1" si="142">-SUM(OFFSET(V122,,,,-3))*V139</f>
        <v>0</v>
      </c>
      <c r="X123" s="8">
        <f ca="1">V123</f>
        <v>0</v>
      </c>
    </row>
    <row r="124" spans="1:28" ht="3.75" customHeight="1" x14ac:dyDescent="0.35">
      <c r="F124" s="10"/>
      <c r="G124" s="10"/>
      <c r="H124" s="10"/>
      <c r="I124" s="10" t="s">
        <v>12</v>
      </c>
      <c r="J124" s="208" t="s">
        <v>12</v>
      </c>
      <c r="K124" s="10" t="s">
        <v>12</v>
      </c>
      <c r="L124" s="10" t="s">
        <v>12</v>
      </c>
      <c r="M124" s="10" t="s">
        <v>12</v>
      </c>
      <c r="N124" s="10" t="s">
        <v>12</v>
      </c>
      <c r="O124" s="10" t="s">
        <v>12</v>
      </c>
      <c r="P124" s="10" t="s">
        <v>12</v>
      </c>
      <c r="Q124" s="10" t="s">
        <v>12</v>
      </c>
      <c r="R124" s="10" t="s">
        <v>12</v>
      </c>
      <c r="S124" s="10" t="s">
        <v>12</v>
      </c>
      <c r="T124" s="10" t="s">
        <v>12</v>
      </c>
      <c r="U124" s="10" t="s">
        <v>12</v>
      </c>
      <c r="V124" s="10" t="s">
        <v>12</v>
      </c>
      <c r="W124" s="8"/>
      <c r="X124" s="10" t="s">
        <v>12</v>
      </c>
    </row>
    <row r="125" spans="1:28" s="1" customFormat="1" ht="14.25" customHeight="1" x14ac:dyDescent="0.2">
      <c r="B125" s="1" t="s">
        <v>371</v>
      </c>
      <c r="F125" s="9"/>
      <c r="G125" s="9"/>
      <c r="H125" s="9"/>
      <c r="I125" s="9">
        <v>0</v>
      </c>
      <c r="J125" s="209">
        <f t="shared" ref="J125:U125" ca="1" si="143">SUM(J121:J124)</f>
        <v>320.36783445104595</v>
      </c>
      <c r="K125" s="9">
        <f t="shared" ca="1" si="143"/>
        <v>797.79092564097095</v>
      </c>
      <c r="L125" s="9">
        <f t="shared" ca="1" si="143"/>
        <v>0</v>
      </c>
      <c r="M125" s="9">
        <f t="shared" ca="1" si="143"/>
        <v>134.48010084592121</v>
      </c>
      <c r="N125" s="9">
        <f t="shared" ca="1" si="143"/>
        <v>178.24811962676554</v>
      </c>
      <c r="O125" s="9">
        <f t="shared" ca="1" si="143"/>
        <v>0</v>
      </c>
      <c r="P125" s="9">
        <f t="shared" ca="1" si="143"/>
        <v>-16.484312638427404</v>
      </c>
      <c r="Q125" s="9">
        <f t="shared" ca="1" si="143"/>
        <v>-50.101223431577992</v>
      </c>
      <c r="R125" s="9">
        <f t="shared" ca="1" si="143"/>
        <v>0</v>
      </c>
      <c r="S125" s="9">
        <f t="shared" ca="1" si="143"/>
        <v>49.760120453739333</v>
      </c>
      <c r="T125" s="9">
        <f t="shared" ca="1" si="143"/>
        <v>150.19204451817905</v>
      </c>
      <c r="U125" s="9">
        <f t="shared" ca="1" si="143"/>
        <v>0</v>
      </c>
      <c r="V125" s="9">
        <f t="shared" ref="V125" ca="1" si="144">SUM(V121:V124)</f>
        <v>334.13285959899127</v>
      </c>
      <c r="X125" s="9">
        <f ca="1">SUM(X121:X124)</f>
        <v>1610.0204506709092</v>
      </c>
    </row>
    <row r="126" spans="1:28" s="56" customFormat="1" ht="14.25" customHeight="1" x14ac:dyDescent="0.2">
      <c r="B126" s="21"/>
      <c r="C126" s="55"/>
      <c r="J126" s="211"/>
    </row>
    <row r="127" spans="1:28" s="1" customFormat="1" ht="14.25" customHeight="1" x14ac:dyDescent="0.2">
      <c r="A127" s="49"/>
      <c r="B127" s="49" t="s">
        <v>367</v>
      </c>
      <c r="C127" s="49"/>
      <c r="D127" s="49"/>
      <c r="E127" s="49"/>
      <c r="F127" s="51"/>
      <c r="G127" s="51"/>
      <c r="H127" s="51"/>
      <c r="I127" s="51"/>
      <c r="J127" s="212">
        <f>I131</f>
        <v>0</v>
      </c>
      <c r="K127" s="51">
        <f t="shared" ref="K127:V127" ca="1" si="145">J131</f>
        <v>0</v>
      </c>
      <c r="L127" s="51">
        <f t="shared" ca="1" si="145"/>
        <v>0</v>
      </c>
      <c r="M127" s="51">
        <f t="shared" ca="1" si="145"/>
        <v>0</v>
      </c>
      <c r="N127" s="51">
        <f t="shared" ca="1" si="145"/>
        <v>0</v>
      </c>
      <c r="O127" s="51">
        <f t="shared" ca="1" si="145"/>
        <v>0</v>
      </c>
      <c r="P127" s="51">
        <f t="shared" ca="1" si="145"/>
        <v>0</v>
      </c>
      <c r="Q127" s="51">
        <f t="shared" ca="1" si="145"/>
        <v>0</v>
      </c>
      <c r="R127" s="51">
        <f t="shared" ca="1" si="145"/>
        <v>0</v>
      </c>
      <c r="S127" s="51">
        <f t="shared" ca="1" si="145"/>
        <v>18.136151829777805</v>
      </c>
      <c r="T127" s="51">
        <f t="shared" ca="1" si="145"/>
        <v>18.136151829777805</v>
      </c>
      <c r="U127" s="51">
        <f t="shared" ca="1" si="145"/>
        <v>18.136151829777805</v>
      </c>
      <c r="V127" s="51">
        <f t="shared" ca="1" si="145"/>
        <v>0</v>
      </c>
      <c r="W127" s="49"/>
      <c r="X127" s="51"/>
    </row>
    <row r="128" spans="1:28" s="1" customFormat="1" ht="14.25" customHeight="1" x14ac:dyDescent="0.2">
      <c r="B128" s="16" t="s">
        <v>368</v>
      </c>
      <c r="F128" s="9"/>
      <c r="G128" s="9"/>
      <c r="H128" s="9"/>
      <c r="I128" s="9"/>
      <c r="J128" s="207">
        <f t="shared" ref="J128:U128" ca="1" si="146">MAX(0, J123 + MIN(J127, 0))</f>
        <v>0</v>
      </c>
      <c r="K128" s="8">
        <f t="shared" ca="1" si="146"/>
        <v>0</v>
      </c>
      <c r="L128" s="8">
        <f t="shared" ca="1" si="146"/>
        <v>0</v>
      </c>
      <c r="M128" s="8">
        <f t="shared" ca="1" si="146"/>
        <v>0</v>
      </c>
      <c r="N128" s="8">
        <f t="shared" ca="1" si="146"/>
        <v>0</v>
      </c>
      <c r="O128" s="8">
        <f t="shared" ca="1" si="146"/>
        <v>0</v>
      </c>
      <c r="P128" s="8">
        <f t="shared" ca="1" si="146"/>
        <v>0</v>
      </c>
      <c r="Q128" s="8">
        <f t="shared" ca="1" si="146"/>
        <v>0</v>
      </c>
      <c r="R128" s="8">
        <f t="shared" ca="1" si="146"/>
        <v>18.136151829777805</v>
      </c>
      <c r="S128" s="8">
        <f t="shared" ca="1" si="146"/>
        <v>0</v>
      </c>
      <c r="T128" s="8">
        <f t="shared" ca="1" si="146"/>
        <v>0</v>
      </c>
      <c r="U128" s="8">
        <f t="shared" ca="1" si="146"/>
        <v>0</v>
      </c>
      <c r="V128" s="8">
        <f t="shared" ref="V128" ca="1" si="147">MAX(0, V123 + MIN(V127, 0))</f>
        <v>0</v>
      </c>
      <c r="X128" s="9"/>
    </row>
    <row r="129" spans="1:35" s="56" customFormat="1" ht="14.25" customHeight="1" x14ac:dyDescent="0.2">
      <c r="B129" s="16" t="s">
        <v>369</v>
      </c>
      <c r="C129" s="55"/>
      <c r="I129" s="8"/>
      <c r="J129" s="207">
        <f t="shared" ref="J129:U129" ca="1" si="148">-MAX(0, MIN(J127, -J123))</f>
        <v>0</v>
      </c>
      <c r="K129" s="8">
        <f t="shared" ca="1" si="148"/>
        <v>0</v>
      </c>
      <c r="L129" s="8">
        <f t="shared" ca="1" si="148"/>
        <v>0</v>
      </c>
      <c r="M129" s="8">
        <f t="shared" ca="1" si="148"/>
        <v>0</v>
      </c>
      <c r="N129" s="8">
        <f t="shared" ca="1" si="148"/>
        <v>0</v>
      </c>
      <c r="O129" s="8">
        <f t="shared" ca="1" si="148"/>
        <v>0</v>
      </c>
      <c r="P129" s="8">
        <f t="shared" ca="1" si="148"/>
        <v>0</v>
      </c>
      <c r="Q129" s="8">
        <f t="shared" ca="1" si="148"/>
        <v>0</v>
      </c>
      <c r="R129" s="8">
        <f t="shared" ca="1" si="148"/>
        <v>0</v>
      </c>
      <c r="S129" s="8">
        <f t="shared" ca="1" si="148"/>
        <v>0</v>
      </c>
      <c r="T129" s="8">
        <f t="shared" ca="1" si="148"/>
        <v>0</v>
      </c>
      <c r="U129" s="8">
        <f t="shared" ca="1" si="148"/>
        <v>-18.136151829777805</v>
      </c>
      <c r="V129" s="8">
        <f t="shared" ref="V129" ca="1" si="149">-MAX(0, MIN(V127, -V123))</f>
        <v>0</v>
      </c>
      <c r="AH129" s="4"/>
    </row>
    <row r="130" spans="1:35" ht="3.75" customHeight="1" x14ac:dyDescent="0.35">
      <c r="F130" s="10"/>
      <c r="G130" s="10"/>
      <c r="H130" s="10"/>
      <c r="I130" s="10" t="s">
        <v>12</v>
      </c>
      <c r="J130" s="208" t="s">
        <v>12</v>
      </c>
      <c r="K130" s="10" t="s">
        <v>12</v>
      </c>
      <c r="L130" s="10" t="s">
        <v>12</v>
      </c>
      <c r="M130" s="10" t="s">
        <v>12</v>
      </c>
      <c r="N130" s="10" t="s">
        <v>12</v>
      </c>
      <c r="O130" s="10" t="s">
        <v>12</v>
      </c>
      <c r="P130" s="10" t="s">
        <v>12</v>
      </c>
      <c r="Q130" s="10" t="s">
        <v>12</v>
      </c>
      <c r="R130" s="10" t="s">
        <v>12</v>
      </c>
      <c r="S130" s="10" t="s">
        <v>12</v>
      </c>
      <c r="T130" s="10" t="s">
        <v>12</v>
      </c>
      <c r="U130" s="10" t="s">
        <v>12</v>
      </c>
      <c r="V130" s="10" t="s">
        <v>12</v>
      </c>
      <c r="W130" s="8"/>
      <c r="X130" s="56"/>
    </row>
    <row r="131" spans="1:35" s="55" customFormat="1" ht="14.25" customHeight="1" x14ac:dyDescent="0.2">
      <c r="B131" s="21" t="s">
        <v>366</v>
      </c>
      <c r="I131" s="9">
        <f t="shared" ref="I131:U131" si="150">SUM(I127:I130)</f>
        <v>0</v>
      </c>
      <c r="J131" s="209">
        <f t="shared" ca="1" si="150"/>
        <v>0</v>
      </c>
      <c r="K131" s="9">
        <f t="shared" ca="1" si="150"/>
        <v>0</v>
      </c>
      <c r="L131" s="9">
        <f t="shared" ca="1" si="150"/>
        <v>0</v>
      </c>
      <c r="M131" s="9">
        <f t="shared" ca="1" si="150"/>
        <v>0</v>
      </c>
      <c r="N131" s="9">
        <f t="shared" ca="1" si="150"/>
        <v>0</v>
      </c>
      <c r="O131" s="9">
        <f t="shared" ca="1" si="150"/>
        <v>0</v>
      </c>
      <c r="P131" s="9">
        <f t="shared" ca="1" si="150"/>
        <v>0</v>
      </c>
      <c r="Q131" s="9">
        <f t="shared" ca="1" si="150"/>
        <v>0</v>
      </c>
      <c r="R131" s="9">
        <f t="shared" ca="1" si="150"/>
        <v>18.136151829777805</v>
      </c>
      <c r="S131" s="9">
        <f t="shared" ca="1" si="150"/>
        <v>18.136151829777805</v>
      </c>
      <c r="T131" s="9">
        <f t="shared" ca="1" si="150"/>
        <v>18.136151829777805</v>
      </c>
      <c r="U131" s="9">
        <f t="shared" ca="1" si="150"/>
        <v>0</v>
      </c>
      <c r="V131" s="9">
        <f t="shared" ref="V131" ca="1" si="151">SUM(V127:V130)</f>
        <v>0</v>
      </c>
      <c r="X131" s="56"/>
      <c r="AH131" s="1"/>
    </row>
    <row r="132" spans="1:35" s="56" customFormat="1" ht="14.25" customHeight="1" x14ac:dyDescent="0.2">
      <c r="B132" s="90"/>
      <c r="C132" s="55"/>
      <c r="I132" s="8"/>
      <c r="J132" s="207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AH132" s="4"/>
    </row>
    <row r="133" spans="1:35" s="1" customFormat="1" ht="14.25" customHeight="1" x14ac:dyDescent="0.2">
      <c r="A133" s="49"/>
      <c r="B133" s="49" t="s">
        <v>150</v>
      </c>
      <c r="C133" s="49"/>
      <c r="D133" s="49"/>
      <c r="E133" s="49"/>
      <c r="F133" s="51"/>
      <c r="G133" s="51"/>
      <c r="H133" s="51"/>
      <c r="I133" s="152"/>
      <c r="J133" s="51">
        <f t="shared" ref="J133" si="152">I137</f>
        <v>0</v>
      </c>
      <c r="K133" s="51">
        <f t="shared" ref="K133" si="153">J137</f>
        <v>0</v>
      </c>
      <c r="L133" s="51">
        <f t="shared" ref="L133" si="154">K137</f>
        <v>0</v>
      </c>
      <c r="M133" s="51">
        <f t="shared" ref="M133" si="155">L137</f>
        <v>0</v>
      </c>
      <c r="N133" s="51">
        <f t="shared" ref="N133" si="156">M137</f>
        <v>0</v>
      </c>
      <c r="O133" s="51">
        <f t="shared" ref="O133" si="157">N137</f>
        <v>0</v>
      </c>
      <c r="P133" s="51">
        <f t="shared" ref="P133" si="158">O137</f>
        <v>0</v>
      </c>
      <c r="Q133" s="51">
        <f t="shared" ref="Q133" si="159">P137</f>
        <v>0</v>
      </c>
      <c r="R133" s="51">
        <f t="shared" ref="R133" si="160">Q137</f>
        <v>0</v>
      </c>
      <c r="S133" s="51">
        <f t="shared" ref="S133" si="161">R137</f>
        <v>0</v>
      </c>
      <c r="T133" s="51">
        <f t="shared" ref="T133" si="162">S137</f>
        <v>0</v>
      </c>
      <c r="U133" s="51">
        <f t="shared" ref="U133:V133" si="163">T137</f>
        <v>0</v>
      </c>
      <c r="V133" s="51">
        <f t="shared" si="163"/>
        <v>0</v>
      </c>
      <c r="W133" s="49"/>
      <c r="X133" s="51">
        <f>J133</f>
        <v>0</v>
      </c>
    </row>
    <row r="134" spans="1:35" ht="14.25" customHeight="1" x14ac:dyDescent="0.2">
      <c r="B134" s="16" t="s">
        <v>151</v>
      </c>
      <c r="C134" s="1"/>
      <c r="F134" s="8"/>
      <c r="G134" s="8"/>
      <c r="H134" s="8"/>
      <c r="I134" s="140"/>
      <c r="J134" s="8">
        <v>0</v>
      </c>
      <c r="K134" s="8">
        <v>0</v>
      </c>
      <c r="L134" s="8">
        <v>0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0</v>
      </c>
      <c r="T134" s="8">
        <v>0</v>
      </c>
      <c r="U134" s="8">
        <v>0</v>
      </c>
      <c r="V134" s="8">
        <v>0</v>
      </c>
      <c r="X134" s="8">
        <f>SUM(J134:W134)</f>
        <v>0</v>
      </c>
    </row>
    <row r="135" spans="1:35" ht="14.25" customHeight="1" x14ac:dyDescent="0.2">
      <c r="B135" s="16" t="s">
        <v>152</v>
      </c>
      <c r="C135" s="1"/>
      <c r="D135" s="7"/>
      <c r="F135" s="8"/>
      <c r="G135" s="8"/>
      <c r="H135" s="8"/>
      <c r="I135" s="8"/>
      <c r="J135" s="207">
        <v>0</v>
      </c>
      <c r="K135" s="8">
        <v>0</v>
      </c>
      <c r="L135" s="8">
        <v>0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0</v>
      </c>
      <c r="T135" s="8">
        <v>0</v>
      </c>
      <c r="U135" s="8">
        <v>0</v>
      </c>
      <c r="V135" s="8">
        <v>0</v>
      </c>
      <c r="X135" s="8">
        <f>U135</f>
        <v>0</v>
      </c>
    </row>
    <row r="136" spans="1:35" ht="3.75" customHeight="1" x14ac:dyDescent="0.35">
      <c r="F136" s="10"/>
      <c r="G136" s="10"/>
      <c r="H136" s="10"/>
      <c r="I136" s="10" t="s">
        <v>12</v>
      </c>
      <c r="J136" s="208" t="s">
        <v>12</v>
      </c>
      <c r="K136" s="10" t="s">
        <v>12</v>
      </c>
      <c r="L136" s="10" t="s">
        <v>12</v>
      </c>
      <c r="M136" s="10" t="s">
        <v>12</v>
      </c>
      <c r="N136" s="10" t="s">
        <v>12</v>
      </c>
      <c r="O136" s="10" t="s">
        <v>12</v>
      </c>
      <c r="P136" s="10" t="s">
        <v>12</v>
      </c>
      <c r="Q136" s="10" t="s">
        <v>12</v>
      </c>
      <c r="R136" s="10" t="s">
        <v>12</v>
      </c>
      <c r="S136" s="10" t="s">
        <v>12</v>
      </c>
      <c r="T136" s="10" t="s">
        <v>12</v>
      </c>
      <c r="U136" s="10" t="s">
        <v>12</v>
      </c>
      <c r="V136" s="10" t="s">
        <v>12</v>
      </c>
      <c r="W136" s="8"/>
      <c r="X136" s="10" t="s">
        <v>12</v>
      </c>
    </row>
    <row r="137" spans="1:35" s="1" customFormat="1" ht="14.25" customHeight="1" x14ac:dyDescent="0.2">
      <c r="B137" s="1" t="s">
        <v>153</v>
      </c>
      <c r="F137" s="9"/>
      <c r="G137" s="9"/>
      <c r="H137" s="9"/>
      <c r="I137" s="9">
        <v>0</v>
      </c>
      <c r="J137" s="209">
        <f t="shared" ref="J137:U137" si="164">SUM(J133:J136)</f>
        <v>0</v>
      </c>
      <c r="K137" s="9">
        <f t="shared" si="164"/>
        <v>0</v>
      </c>
      <c r="L137" s="9">
        <f t="shared" si="164"/>
        <v>0</v>
      </c>
      <c r="M137" s="9">
        <f t="shared" si="164"/>
        <v>0</v>
      </c>
      <c r="N137" s="9">
        <f t="shared" si="164"/>
        <v>0</v>
      </c>
      <c r="O137" s="9">
        <f t="shared" si="164"/>
        <v>0</v>
      </c>
      <c r="P137" s="9">
        <f t="shared" si="164"/>
        <v>0</v>
      </c>
      <c r="Q137" s="9">
        <f t="shared" si="164"/>
        <v>0</v>
      </c>
      <c r="R137" s="9">
        <f t="shared" si="164"/>
        <v>0</v>
      </c>
      <c r="S137" s="9">
        <f t="shared" si="164"/>
        <v>0</v>
      </c>
      <c r="T137" s="9">
        <f t="shared" si="164"/>
        <v>0</v>
      </c>
      <c r="U137" s="9">
        <f t="shared" si="164"/>
        <v>0</v>
      </c>
      <c r="V137" s="9">
        <f t="shared" ref="V137" si="165">SUM(V133:V136)</f>
        <v>0</v>
      </c>
      <c r="X137" s="9">
        <f>SUM(X133:X136)</f>
        <v>0</v>
      </c>
    </row>
    <row r="138" spans="1:35" s="56" customFormat="1" ht="14.25" customHeight="1" x14ac:dyDescent="0.2">
      <c r="B138" s="21"/>
      <c r="C138" s="55"/>
      <c r="J138" s="211"/>
      <c r="AH138" s="4"/>
    </row>
    <row r="139" spans="1:35" s="56" customFormat="1" ht="14.25" customHeight="1" x14ac:dyDescent="0.2">
      <c r="B139" s="21" t="s">
        <v>154</v>
      </c>
      <c r="C139" s="55"/>
      <c r="J139" s="211" t="b">
        <f t="shared" ref="J139" si="166">(MOD(MONTH(J$7),3))=0</f>
        <v>0</v>
      </c>
      <c r="K139" s="56" t="b">
        <f>(MOD(MONTH(K$7),3))=0</f>
        <v>0</v>
      </c>
      <c r="L139" s="56" t="b">
        <f t="shared" ref="L139:V139" si="167">(MOD(MONTH(L$7),3))=0</f>
        <v>1</v>
      </c>
      <c r="M139" s="56" t="b">
        <f t="shared" si="167"/>
        <v>0</v>
      </c>
      <c r="N139" s="56" t="b">
        <f t="shared" si="167"/>
        <v>0</v>
      </c>
      <c r="O139" s="56" t="b">
        <f t="shared" si="167"/>
        <v>1</v>
      </c>
      <c r="P139" s="56" t="b">
        <f t="shared" si="167"/>
        <v>0</v>
      </c>
      <c r="Q139" s="56" t="b">
        <f t="shared" si="167"/>
        <v>0</v>
      </c>
      <c r="R139" s="56" t="b">
        <f t="shared" si="167"/>
        <v>1</v>
      </c>
      <c r="S139" s="56" t="b">
        <f t="shared" si="167"/>
        <v>0</v>
      </c>
      <c r="T139" s="56" t="b">
        <f t="shared" si="167"/>
        <v>0</v>
      </c>
      <c r="U139" s="56" t="b">
        <f t="shared" si="167"/>
        <v>1</v>
      </c>
      <c r="V139" s="56" t="b">
        <f t="shared" si="167"/>
        <v>0</v>
      </c>
    </row>
    <row r="140" spans="1:35" ht="14.25" customHeight="1" x14ac:dyDescent="0.2">
      <c r="B140" s="1"/>
      <c r="C140" s="1"/>
      <c r="J140" s="206"/>
      <c r="AD140" s="56"/>
      <c r="AE140" s="56"/>
      <c r="AF140" s="56"/>
      <c r="AG140" s="56"/>
      <c r="AI140" s="56"/>
    </row>
    <row r="141" spans="1:35" ht="14.25" customHeight="1" x14ac:dyDescent="0.2">
      <c r="A141" s="75"/>
      <c r="B141" s="74" t="s">
        <v>18</v>
      </c>
      <c r="C141" s="75"/>
      <c r="D141" s="75"/>
      <c r="E141" s="75"/>
      <c r="F141" s="75"/>
      <c r="G141" s="75"/>
      <c r="H141" s="75"/>
      <c r="I141" s="75"/>
      <c r="J141" s="213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AD141" s="56"/>
      <c r="AE141" s="56"/>
      <c r="AF141" s="56"/>
      <c r="AG141" s="56"/>
      <c r="AI141" s="56"/>
    </row>
    <row r="142" spans="1:35" ht="14.25" customHeight="1" x14ac:dyDescent="0.2">
      <c r="J142" s="206"/>
      <c r="AD142" s="56"/>
      <c r="AE142" s="56"/>
      <c r="AF142" s="56"/>
      <c r="AG142" s="56"/>
      <c r="AI142" s="56"/>
    </row>
    <row r="143" spans="1:35" ht="14.25" customHeight="1" x14ac:dyDescent="0.2">
      <c r="B143" s="1" t="s">
        <v>14</v>
      </c>
      <c r="D143" s="11">
        <v>2</v>
      </c>
      <c r="I143" s="147"/>
      <c r="AD143" s="56"/>
      <c r="AE143" s="56"/>
      <c r="AF143" s="56"/>
      <c r="AG143" s="56"/>
      <c r="AI143" s="56"/>
    </row>
    <row r="144" spans="1:35" ht="14.25" customHeight="1" x14ac:dyDescent="0.2">
      <c r="B144" s="4" t="s">
        <v>68</v>
      </c>
      <c r="C144" s="1"/>
      <c r="I144" s="147"/>
      <c r="AD144" s="56"/>
      <c r="AE144" s="56"/>
      <c r="AF144" s="56"/>
      <c r="AG144" s="56"/>
      <c r="AI144" s="56"/>
    </row>
    <row r="145" spans="2:35" ht="14.25" customHeight="1" x14ac:dyDescent="0.2">
      <c r="B145" s="4" t="s">
        <v>69</v>
      </c>
      <c r="I145" s="147"/>
      <c r="AD145" s="56"/>
      <c r="AE145" s="56"/>
      <c r="AF145" s="56"/>
      <c r="AG145" s="56"/>
      <c r="AI145" s="56"/>
    </row>
    <row r="146" spans="2:35" ht="14.25" customHeight="1" x14ac:dyDescent="0.2">
      <c r="B146" s="4" t="s">
        <v>70</v>
      </c>
      <c r="I146" s="147"/>
    </row>
    <row r="147" spans="2:35" ht="14.25" customHeight="1" x14ac:dyDescent="0.2">
      <c r="I147" s="147"/>
    </row>
    <row r="148" spans="2:35" ht="14.25" customHeight="1" x14ac:dyDescent="0.2">
      <c r="B148" s="4" t="s">
        <v>270</v>
      </c>
      <c r="I148" s="139">
        <f t="shared" ref="I148:U148" si="168">MAX(WEEKNUM(EOMONTH(I7, -1) + 1) - 1, 1)</f>
        <v>48</v>
      </c>
      <c r="J148" s="5">
        <f t="shared" si="168"/>
        <v>1</v>
      </c>
      <c r="K148" s="5">
        <f t="shared" si="168"/>
        <v>4</v>
      </c>
      <c r="L148" s="5">
        <f t="shared" si="168"/>
        <v>8</v>
      </c>
      <c r="M148" s="5">
        <f t="shared" si="168"/>
        <v>13</v>
      </c>
      <c r="N148" s="5">
        <f t="shared" si="168"/>
        <v>17</v>
      </c>
      <c r="O148" s="5">
        <f t="shared" si="168"/>
        <v>22</v>
      </c>
      <c r="P148" s="5">
        <f t="shared" si="168"/>
        <v>26</v>
      </c>
      <c r="Q148" s="5">
        <f t="shared" si="168"/>
        <v>30</v>
      </c>
      <c r="R148" s="5">
        <f t="shared" si="168"/>
        <v>35</v>
      </c>
      <c r="S148" s="5">
        <f t="shared" si="168"/>
        <v>39</v>
      </c>
      <c r="T148" s="5">
        <f t="shared" si="168"/>
        <v>43</v>
      </c>
      <c r="U148" s="5">
        <f t="shared" si="168"/>
        <v>48</v>
      </c>
      <c r="V148" s="5">
        <f t="shared" ref="V148" si="169">MAX(WEEKNUM(EOMONTH(V7, -1) + 1) - 1, 1)</f>
        <v>1</v>
      </c>
    </row>
    <row r="149" spans="2:35" ht="14.25" customHeight="1" x14ac:dyDescent="0.2">
      <c r="B149" s="4" t="s">
        <v>271</v>
      </c>
      <c r="C149" s="14"/>
      <c r="I149" s="139">
        <f t="shared" ref="I149:U149" si="170">IF(MONTH(I$7)=12,52,IF(MONTH(I$7)=1,J148+I148,J148))-I148</f>
        <v>4</v>
      </c>
      <c r="J149" s="5">
        <f t="shared" si="170"/>
        <v>4</v>
      </c>
      <c r="K149" s="5">
        <f t="shared" si="170"/>
        <v>4</v>
      </c>
      <c r="L149" s="5">
        <f t="shared" si="170"/>
        <v>5</v>
      </c>
      <c r="M149" s="5">
        <f t="shared" si="170"/>
        <v>4</v>
      </c>
      <c r="N149" s="5">
        <f t="shared" si="170"/>
        <v>5</v>
      </c>
      <c r="O149" s="5">
        <f t="shared" si="170"/>
        <v>4</v>
      </c>
      <c r="P149" s="5">
        <f t="shared" si="170"/>
        <v>4</v>
      </c>
      <c r="Q149" s="5">
        <f t="shared" si="170"/>
        <v>5</v>
      </c>
      <c r="R149" s="5">
        <f t="shared" si="170"/>
        <v>4</v>
      </c>
      <c r="S149" s="5">
        <f t="shared" si="170"/>
        <v>4</v>
      </c>
      <c r="T149" s="5">
        <f t="shared" si="170"/>
        <v>5</v>
      </c>
      <c r="U149" s="5">
        <f t="shared" si="170"/>
        <v>4</v>
      </c>
      <c r="V149" s="5">
        <f>J149</f>
        <v>4</v>
      </c>
    </row>
    <row r="150" spans="2:35" ht="14.25" customHeight="1" x14ac:dyDescent="0.2">
      <c r="I150" s="147"/>
    </row>
    <row r="151" spans="2:35" ht="14.25" customHeight="1" x14ac:dyDescent="0.2">
      <c r="B151" s="4" t="s">
        <v>15</v>
      </c>
      <c r="I151" s="201">
        <f t="shared" ref="I151:U151" si="171">I7</f>
        <v>45657</v>
      </c>
      <c r="J151" s="12">
        <f t="shared" si="171"/>
        <v>45688</v>
      </c>
      <c r="K151" s="12">
        <f t="shared" si="171"/>
        <v>45716</v>
      </c>
      <c r="L151" s="12">
        <f t="shared" si="171"/>
        <v>45747</v>
      </c>
      <c r="M151" s="12">
        <f t="shared" si="171"/>
        <v>45777</v>
      </c>
      <c r="N151" s="12">
        <f t="shared" si="171"/>
        <v>45808</v>
      </c>
      <c r="O151" s="12">
        <f t="shared" si="171"/>
        <v>45838</v>
      </c>
      <c r="P151" s="12">
        <f t="shared" si="171"/>
        <v>45869</v>
      </c>
      <c r="Q151" s="12">
        <f t="shared" si="171"/>
        <v>45900</v>
      </c>
      <c r="R151" s="12">
        <f t="shared" si="171"/>
        <v>45930</v>
      </c>
      <c r="S151" s="12">
        <f t="shared" si="171"/>
        <v>45961</v>
      </c>
      <c r="T151" s="12">
        <f t="shared" si="171"/>
        <v>45991</v>
      </c>
      <c r="U151" s="12">
        <f t="shared" si="171"/>
        <v>46022</v>
      </c>
      <c r="V151" s="12">
        <f t="shared" ref="V151" si="172">V7</f>
        <v>46053</v>
      </c>
    </row>
    <row r="152" spans="2:35" ht="14.25" customHeight="1" x14ac:dyDescent="0.2">
      <c r="B152" s="4" t="s">
        <v>19</v>
      </c>
      <c r="I152" s="201">
        <f t="shared" ref="I152:V152" si="173">CHOOSE($D143,EOMONTH(I$7,-1)+1,I$7-ROUND((I$7-H$7)/$D143,0),EOMONTH(I$7,0))</f>
        <v>45641</v>
      </c>
      <c r="J152" s="12">
        <f t="shared" si="173"/>
        <v>45672</v>
      </c>
      <c r="K152" s="12">
        <f t="shared" si="173"/>
        <v>45702</v>
      </c>
      <c r="L152" s="12">
        <f t="shared" si="173"/>
        <v>45731</v>
      </c>
      <c r="M152" s="12">
        <f t="shared" si="173"/>
        <v>45762</v>
      </c>
      <c r="N152" s="12">
        <f t="shared" si="173"/>
        <v>45792</v>
      </c>
      <c r="O152" s="12">
        <f t="shared" si="173"/>
        <v>45823</v>
      </c>
      <c r="P152" s="12">
        <f t="shared" si="173"/>
        <v>45853</v>
      </c>
      <c r="Q152" s="12">
        <f t="shared" si="173"/>
        <v>45884</v>
      </c>
      <c r="R152" s="12">
        <f t="shared" si="173"/>
        <v>45915</v>
      </c>
      <c r="S152" s="12">
        <f t="shared" si="173"/>
        <v>45945</v>
      </c>
      <c r="T152" s="12">
        <f t="shared" si="173"/>
        <v>45976</v>
      </c>
      <c r="U152" s="12">
        <f t="shared" si="173"/>
        <v>46006</v>
      </c>
      <c r="V152" s="12">
        <f t="shared" si="173"/>
        <v>46037</v>
      </c>
    </row>
    <row r="153" spans="2:35" ht="14.25" customHeight="1" x14ac:dyDescent="0.2">
      <c r="I153" s="147"/>
    </row>
    <row r="154" spans="2:35" ht="14.25" customHeight="1" x14ac:dyDescent="0.2">
      <c r="B154" s="4" t="s">
        <v>17</v>
      </c>
      <c r="I154" s="201">
        <f t="shared" ref="I154:V154" si="174">I$152+$D155</f>
        <v>45701</v>
      </c>
      <c r="J154" s="12">
        <f t="shared" si="174"/>
        <v>45732</v>
      </c>
      <c r="K154" s="12">
        <f t="shared" si="174"/>
        <v>45762</v>
      </c>
      <c r="L154" s="12">
        <f t="shared" si="174"/>
        <v>45791</v>
      </c>
      <c r="M154" s="12">
        <f t="shared" si="174"/>
        <v>45822</v>
      </c>
      <c r="N154" s="12">
        <f t="shared" si="174"/>
        <v>45852</v>
      </c>
      <c r="O154" s="12">
        <f t="shared" si="174"/>
        <v>45883</v>
      </c>
      <c r="P154" s="12">
        <f t="shared" si="174"/>
        <v>45913</v>
      </c>
      <c r="Q154" s="12">
        <f t="shared" si="174"/>
        <v>45944</v>
      </c>
      <c r="R154" s="12">
        <f t="shared" si="174"/>
        <v>45975</v>
      </c>
      <c r="S154" s="12">
        <f t="shared" si="174"/>
        <v>46005</v>
      </c>
      <c r="T154" s="12">
        <f t="shared" si="174"/>
        <v>46036</v>
      </c>
      <c r="U154" s="12">
        <f t="shared" si="174"/>
        <v>46066</v>
      </c>
      <c r="V154" s="12">
        <f t="shared" si="174"/>
        <v>46097</v>
      </c>
    </row>
    <row r="155" spans="2:35" ht="14.25" customHeight="1" x14ac:dyDescent="0.2">
      <c r="B155" s="4" t="s">
        <v>16</v>
      </c>
      <c r="C155" s="1"/>
      <c r="D155" s="257">
        <f>Assumptions!C26</f>
        <v>60</v>
      </c>
      <c r="I155" s="201">
        <f t="shared" ref="I155:V155" si="175">EOMONTH(I$152+$D155,0)</f>
        <v>45716</v>
      </c>
      <c r="J155" s="12">
        <f t="shared" si="175"/>
        <v>45747</v>
      </c>
      <c r="K155" s="12">
        <f t="shared" si="175"/>
        <v>45777</v>
      </c>
      <c r="L155" s="12">
        <f t="shared" si="175"/>
        <v>45808</v>
      </c>
      <c r="M155" s="12">
        <f t="shared" si="175"/>
        <v>45838</v>
      </c>
      <c r="N155" s="12">
        <f t="shared" si="175"/>
        <v>45869</v>
      </c>
      <c r="O155" s="12">
        <f t="shared" si="175"/>
        <v>45900</v>
      </c>
      <c r="P155" s="12">
        <f t="shared" si="175"/>
        <v>45930</v>
      </c>
      <c r="Q155" s="12">
        <f t="shared" si="175"/>
        <v>45961</v>
      </c>
      <c r="R155" s="12">
        <f t="shared" si="175"/>
        <v>45991</v>
      </c>
      <c r="S155" s="12">
        <f t="shared" si="175"/>
        <v>46022</v>
      </c>
      <c r="T155" s="12">
        <f t="shared" si="175"/>
        <v>46053</v>
      </c>
      <c r="U155" s="12">
        <f t="shared" si="175"/>
        <v>46081</v>
      </c>
      <c r="V155" s="12">
        <f t="shared" si="175"/>
        <v>46112</v>
      </c>
    </row>
    <row r="156" spans="2:35" ht="14.25" customHeight="1" x14ac:dyDescent="0.2">
      <c r="I156" s="147"/>
    </row>
    <row r="157" spans="2:35" ht="14.25" customHeight="1" x14ac:dyDescent="0.2">
      <c r="B157" s="4" t="s">
        <v>316</v>
      </c>
      <c r="I157" s="201">
        <f t="shared" ref="I157:V157" si="176">I$152+$D158</f>
        <v>45678</v>
      </c>
      <c r="J157" s="12">
        <f>J$152+$D158</f>
        <v>45709</v>
      </c>
      <c r="K157" s="12">
        <f t="shared" si="176"/>
        <v>45739</v>
      </c>
      <c r="L157" s="12">
        <f t="shared" si="176"/>
        <v>45768</v>
      </c>
      <c r="M157" s="12">
        <f t="shared" si="176"/>
        <v>45799</v>
      </c>
      <c r="N157" s="12">
        <f t="shared" si="176"/>
        <v>45829</v>
      </c>
      <c r="O157" s="12">
        <f t="shared" si="176"/>
        <v>45860</v>
      </c>
      <c r="P157" s="12">
        <f t="shared" si="176"/>
        <v>45890</v>
      </c>
      <c r="Q157" s="12">
        <f t="shared" si="176"/>
        <v>45921</v>
      </c>
      <c r="R157" s="12">
        <f t="shared" si="176"/>
        <v>45952</v>
      </c>
      <c r="S157" s="12">
        <f t="shared" si="176"/>
        <v>45982</v>
      </c>
      <c r="T157" s="12">
        <f t="shared" si="176"/>
        <v>46013</v>
      </c>
      <c r="U157" s="12">
        <f t="shared" si="176"/>
        <v>46043</v>
      </c>
      <c r="V157" s="12">
        <f t="shared" si="176"/>
        <v>46074</v>
      </c>
    </row>
    <row r="158" spans="2:35" ht="14.25" customHeight="1" x14ac:dyDescent="0.2">
      <c r="B158" s="4" t="s">
        <v>317</v>
      </c>
      <c r="D158" s="257">
        <f>Assumptions!C27</f>
        <v>37</v>
      </c>
      <c r="I158" s="201">
        <f t="shared" ref="I158:V158" si="177">EOMONTH(I$152+$D158,0)</f>
        <v>45688</v>
      </c>
      <c r="J158" s="12">
        <f t="shared" si="177"/>
        <v>45716</v>
      </c>
      <c r="K158" s="12">
        <f t="shared" si="177"/>
        <v>45747</v>
      </c>
      <c r="L158" s="12">
        <f t="shared" si="177"/>
        <v>45777</v>
      </c>
      <c r="M158" s="12">
        <f t="shared" si="177"/>
        <v>45808</v>
      </c>
      <c r="N158" s="12">
        <f t="shared" si="177"/>
        <v>45838</v>
      </c>
      <c r="O158" s="12">
        <f t="shared" si="177"/>
        <v>45869</v>
      </c>
      <c r="P158" s="12">
        <f t="shared" si="177"/>
        <v>45900</v>
      </c>
      <c r="Q158" s="12">
        <f t="shared" si="177"/>
        <v>45930</v>
      </c>
      <c r="R158" s="12">
        <f t="shared" si="177"/>
        <v>45961</v>
      </c>
      <c r="S158" s="12">
        <f t="shared" si="177"/>
        <v>45991</v>
      </c>
      <c r="T158" s="12">
        <f t="shared" si="177"/>
        <v>46022</v>
      </c>
      <c r="U158" s="12">
        <f t="shared" si="177"/>
        <v>46053</v>
      </c>
      <c r="V158" s="12">
        <f t="shared" si="177"/>
        <v>46081</v>
      </c>
    </row>
    <row r="159" spans="2:35" ht="14.25" customHeight="1" x14ac:dyDescent="0.2">
      <c r="I159" s="147"/>
    </row>
    <row r="160" spans="2:35" ht="14.25" customHeight="1" x14ac:dyDescent="0.2">
      <c r="B160" s="4" t="s">
        <v>315</v>
      </c>
      <c r="I160" s="201">
        <f t="shared" ref="I160:V160" si="178">I$152+$D161</f>
        <v>45671</v>
      </c>
      <c r="J160" s="12">
        <f t="shared" si="178"/>
        <v>45702</v>
      </c>
      <c r="K160" s="12">
        <f t="shared" si="178"/>
        <v>45732</v>
      </c>
      <c r="L160" s="12">
        <f t="shared" si="178"/>
        <v>45761</v>
      </c>
      <c r="M160" s="12">
        <f t="shared" si="178"/>
        <v>45792</v>
      </c>
      <c r="N160" s="12">
        <f t="shared" si="178"/>
        <v>45822</v>
      </c>
      <c r="O160" s="12">
        <f t="shared" si="178"/>
        <v>45853</v>
      </c>
      <c r="P160" s="12">
        <f t="shared" si="178"/>
        <v>45883</v>
      </c>
      <c r="Q160" s="12">
        <f t="shared" si="178"/>
        <v>45914</v>
      </c>
      <c r="R160" s="12">
        <f t="shared" si="178"/>
        <v>45945</v>
      </c>
      <c r="S160" s="12">
        <f t="shared" si="178"/>
        <v>45975</v>
      </c>
      <c r="T160" s="12">
        <f t="shared" si="178"/>
        <v>46006</v>
      </c>
      <c r="U160" s="12">
        <f t="shared" si="178"/>
        <v>46036</v>
      </c>
      <c r="V160" s="12">
        <f t="shared" si="178"/>
        <v>46067</v>
      </c>
    </row>
    <row r="161" spans="1:35" ht="14.25" customHeight="1" x14ac:dyDescent="0.2">
      <c r="B161" s="4" t="s">
        <v>318</v>
      </c>
      <c r="D161" s="257">
        <f>Assumptions!C28</f>
        <v>30</v>
      </c>
      <c r="I161" s="201">
        <f>EOMONTH(I$152+$D161,0)</f>
        <v>45688</v>
      </c>
      <c r="J161" s="12">
        <f>EOMONTH(J$152+$D161,0)</f>
        <v>45716</v>
      </c>
      <c r="K161" s="12">
        <f t="shared" ref="K161:V161" si="179">EOMONTH(K$152+$D161,0)</f>
        <v>45747</v>
      </c>
      <c r="L161" s="12">
        <f t="shared" si="179"/>
        <v>45777</v>
      </c>
      <c r="M161" s="12">
        <f t="shared" si="179"/>
        <v>45808</v>
      </c>
      <c r="N161" s="12">
        <f t="shared" si="179"/>
        <v>45838</v>
      </c>
      <c r="O161" s="12">
        <f t="shared" si="179"/>
        <v>45869</v>
      </c>
      <c r="P161" s="12">
        <f t="shared" si="179"/>
        <v>45900</v>
      </c>
      <c r="Q161" s="12">
        <f t="shared" si="179"/>
        <v>45930</v>
      </c>
      <c r="R161" s="12">
        <f t="shared" si="179"/>
        <v>45961</v>
      </c>
      <c r="S161" s="12">
        <f t="shared" si="179"/>
        <v>45991</v>
      </c>
      <c r="T161" s="12">
        <f t="shared" si="179"/>
        <v>46022</v>
      </c>
      <c r="U161" s="12">
        <f t="shared" si="179"/>
        <v>46053</v>
      </c>
      <c r="V161" s="12">
        <f t="shared" si="179"/>
        <v>46081</v>
      </c>
    </row>
    <row r="162" spans="1:35" ht="14.25" customHeight="1" x14ac:dyDescent="0.2">
      <c r="I162" s="147"/>
    </row>
    <row r="163" spans="1:35" ht="14.25" customHeight="1" x14ac:dyDescent="0.2">
      <c r="B163" s="4" t="s">
        <v>325</v>
      </c>
      <c r="I163" s="201">
        <f>I$152-$D164</f>
        <v>45641</v>
      </c>
      <c r="J163" s="12">
        <f>J$152-$D164</f>
        <v>45672</v>
      </c>
      <c r="K163" s="12">
        <f t="shared" ref="K163:V163" si="180">K$152-$D164</f>
        <v>45702</v>
      </c>
      <c r="L163" s="12">
        <f t="shared" si="180"/>
        <v>45731</v>
      </c>
      <c r="M163" s="12">
        <f t="shared" si="180"/>
        <v>45762</v>
      </c>
      <c r="N163" s="12">
        <f t="shared" si="180"/>
        <v>45792</v>
      </c>
      <c r="O163" s="12">
        <f t="shared" si="180"/>
        <v>45823</v>
      </c>
      <c r="P163" s="12">
        <f t="shared" si="180"/>
        <v>45853</v>
      </c>
      <c r="Q163" s="12">
        <f t="shared" si="180"/>
        <v>45884</v>
      </c>
      <c r="R163" s="12">
        <f t="shared" si="180"/>
        <v>45915</v>
      </c>
      <c r="S163" s="12">
        <f t="shared" si="180"/>
        <v>45945</v>
      </c>
      <c r="T163" s="12">
        <f t="shared" si="180"/>
        <v>45976</v>
      </c>
      <c r="U163" s="12">
        <f t="shared" si="180"/>
        <v>46006</v>
      </c>
      <c r="V163" s="12">
        <f t="shared" si="180"/>
        <v>46037</v>
      </c>
    </row>
    <row r="164" spans="1:35" ht="14.25" customHeight="1" x14ac:dyDescent="0.2">
      <c r="B164" s="4" t="s">
        <v>326</v>
      </c>
      <c r="D164" s="257">
        <f>Assumptions!C29</f>
        <v>0</v>
      </c>
      <c r="I164" s="201">
        <f>EOMONTH(I$152-$D164,0)</f>
        <v>45657</v>
      </c>
      <c r="J164" s="12">
        <f>EOMONTH(J$152-$D164,0)</f>
        <v>45688</v>
      </c>
      <c r="K164" s="12">
        <f t="shared" ref="K164:V164" si="181">EOMONTH(K$152-$D164,0)</f>
        <v>45716</v>
      </c>
      <c r="L164" s="12">
        <f t="shared" si="181"/>
        <v>45747</v>
      </c>
      <c r="M164" s="12">
        <f t="shared" si="181"/>
        <v>45777</v>
      </c>
      <c r="N164" s="12">
        <f t="shared" si="181"/>
        <v>45808</v>
      </c>
      <c r="O164" s="12">
        <f t="shared" si="181"/>
        <v>45838</v>
      </c>
      <c r="P164" s="12">
        <f t="shared" si="181"/>
        <v>45869</v>
      </c>
      <c r="Q164" s="12">
        <f t="shared" si="181"/>
        <v>45900</v>
      </c>
      <c r="R164" s="12">
        <f t="shared" si="181"/>
        <v>45930</v>
      </c>
      <c r="S164" s="12">
        <f t="shared" si="181"/>
        <v>45961</v>
      </c>
      <c r="T164" s="12">
        <f t="shared" si="181"/>
        <v>45991</v>
      </c>
      <c r="U164" s="12">
        <f t="shared" si="181"/>
        <v>46022</v>
      </c>
      <c r="V164" s="12">
        <f t="shared" si="181"/>
        <v>46053</v>
      </c>
    </row>
    <row r="165" spans="1:35" ht="14.25" customHeight="1" x14ac:dyDescent="0.2">
      <c r="I165" s="147"/>
    </row>
    <row r="166" spans="1:35" ht="14.25" customHeight="1" x14ac:dyDescent="0.2">
      <c r="B166" s="4" t="s">
        <v>348</v>
      </c>
      <c r="C166" s="1"/>
      <c r="I166" s="202">
        <f t="shared" ref="I166:U166" si="182">ROUNDDOWN((I158-I152)/30,0)</f>
        <v>1</v>
      </c>
      <c r="J166" s="15">
        <f t="shared" si="182"/>
        <v>1</v>
      </c>
      <c r="K166" s="15">
        <f t="shared" si="182"/>
        <v>1</v>
      </c>
      <c r="L166" s="15">
        <f t="shared" si="182"/>
        <v>1</v>
      </c>
      <c r="M166" s="15">
        <f t="shared" si="182"/>
        <v>1</v>
      </c>
      <c r="N166" s="15">
        <f t="shared" si="182"/>
        <v>1</v>
      </c>
      <c r="O166" s="15">
        <f t="shared" si="182"/>
        <v>1</v>
      </c>
      <c r="P166" s="15">
        <f t="shared" si="182"/>
        <v>1</v>
      </c>
      <c r="Q166" s="15">
        <f t="shared" si="182"/>
        <v>1</v>
      </c>
      <c r="R166" s="15">
        <f t="shared" si="182"/>
        <v>1</v>
      </c>
      <c r="S166" s="15">
        <f t="shared" si="182"/>
        <v>1</v>
      </c>
      <c r="T166" s="15">
        <f t="shared" si="182"/>
        <v>1</v>
      </c>
      <c r="U166" s="15">
        <f t="shared" si="182"/>
        <v>1</v>
      </c>
      <c r="V166" s="15">
        <f t="shared" ref="V166" si="183">ROUNDDOWN((V158-V152)/30,0)</f>
        <v>1</v>
      </c>
    </row>
    <row r="167" spans="1:35" ht="14.25" customHeight="1" x14ac:dyDescent="0.2">
      <c r="I167" s="147"/>
    </row>
    <row r="168" spans="1:35" ht="14.25" customHeight="1" x14ac:dyDescent="0.2">
      <c r="A168" s="75"/>
      <c r="B168" s="74"/>
      <c r="C168" s="75"/>
      <c r="D168" s="75"/>
      <c r="E168" s="75"/>
      <c r="F168" s="75"/>
      <c r="G168" s="7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AD168" s="56"/>
      <c r="AE168" s="56"/>
      <c r="AF168" s="56"/>
      <c r="AG168" s="56"/>
      <c r="AI168" s="56"/>
    </row>
    <row r="169" spans="1:35" ht="14.25" customHeight="1" x14ac:dyDescent="0.2">
      <c r="H169" s="147"/>
    </row>
    <row r="170" spans="1:35" ht="14.25" customHeight="1" x14ac:dyDescent="0.2">
      <c r="C170" s="14"/>
      <c r="H170" s="147"/>
    </row>
  </sheetData>
  <conditionalFormatting sqref="B144">
    <cfRule type="expression" dxfId="69" priority="5">
      <formula>$D$143=1</formula>
    </cfRule>
  </conditionalFormatting>
  <conditionalFormatting sqref="B145">
    <cfRule type="expression" dxfId="68" priority="6">
      <formula>$D$143=2</formula>
    </cfRule>
  </conditionalFormatting>
  <conditionalFormatting sqref="B146">
    <cfRule type="expression" dxfId="67" priority="7">
      <formula>$D$143=3</formula>
    </cfRule>
  </conditionalFormatting>
  <dataValidations count="1">
    <dataValidation type="list" allowBlank="1" showInputMessage="1" showErrorMessage="1" sqref="X7:X8" xr:uid="{248736B3-5A3A-46E9-94A1-ECC8A80284A5}">
      <formula1>$I$7:$W$7</formula1>
    </dataValidation>
  </dataValidations>
  <pageMargins left="0.7" right="0.7" top="0.75" bottom="0.75" header="0.3" footer="0.3"/>
  <cellWatches>
    <cellWatch r="X22"/>
    <cellWatch r="X17"/>
  </cellWatches>
  <ignoredErrors>
    <ignoredError sqref="X13 X15 X19 X21 X114 X47 X115" formulaRange="1"/>
  </ignoredErrors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Drop Down 2">
              <controlPr defaultSize="0" autoLine="0" autoPict="0">
                <anchor moveWithCells="1">
                  <from>
                    <xdr:col>3</xdr:col>
                    <xdr:colOff>0</xdr:colOff>
                    <xdr:row>142</xdr:row>
                    <xdr:rowOff>0</xdr:rowOff>
                  </from>
                  <to>
                    <xdr:col>5</xdr:col>
                    <xdr:colOff>38100</xdr:colOff>
                    <xdr:row>143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40439-F1D2-419A-A6D8-C37DA2861B60}">
  <sheetPr codeName="Sheet5">
    <tabColor theme="4" tint="-0.249977111117893"/>
  </sheetPr>
  <dimension ref="A1"/>
  <sheetViews>
    <sheetView workbookViewId="0">
      <selection activeCell="J29" sqref="J29"/>
    </sheetView>
  </sheetViews>
  <sheetFormatPr defaultColWidth="9.140625" defaultRowHeight="15" x14ac:dyDescent="0.25"/>
  <cols>
    <col min="1" max="16384" width="9.140625" style="20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F1060-571E-4217-A953-5AAE8AD9C915}">
  <sheetPr codeName="Sheet6">
    <tabColor theme="4" tint="0.39997558519241921"/>
  </sheetPr>
  <dimension ref="B1:Y88"/>
  <sheetViews>
    <sheetView showGridLines="0" zoomScale="75" zoomScaleNormal="75" workbookViewId="0">
      <pane ySplit="5" topLeftCell="A6" activePane="bottomLeft" state="frozen"/>
      <selection activeCell="A3" sqref="A3:XFD3"/>
      <selection pane="bottomLeft" activeCell="B6" sqref="B6"/>
    </sheetView>
  </sheetViews>
  <sheetFormatPr defaultColWidth="9.140625" defaultRowHeight="12.75" x14ac:dyDescent="0.25"/>
  <cols>
    <col min="1" max="1" width="1.7109375" style="57" customWidth="1"/>
    <col min="2" max="2" width="28.28515625" style="57" bestFit="1" customWidth="1"/>
    <col min="3" max="3" width="12" style="65" bestFit="1" customWidth="1"/>
    <col min="4" max="4" width="8.85546875" style="65" bestFit="1" customWidth="1"/>
    <col min="5" max="5" width="14" style="65" bestFit="1" customWidth="1"/>
    <col min="6" max="6" width="13.7109375" style="57" bestFit="1" customWidth="1"/>
    <col min="7" max="7" width="11.5703125" style="57" bestFit="1" customWidth="1"/>
    <col min="8" max="8" width="13.7109375" style="57" bestFit="1" customWidth="1"/>
    <col min="9" max="9" width="13.28515625" style="57" bestFit="1" customWidth="1"/>
    <col min="10" max="11" width="12" style="57" bestFit="1" customWidth="1"/>
    <col min="12" max="12" width="11.140625" style="57" bestFit="1" customWidth="1"/>
    <col min="13" max="15" width="13.7109375" style="57" bestFit="1" customWidth="1"/>
    <col min="16" max="16" width="14" style="57" bestFit="1" customWidth="1"/>
    <col min="17" max="17" width="13.7109375" style="57" bestFit="1" customWidth="1"/>
    <col min="18" max="18" width="15.5703125" style="57" bestFit="1" customWidth="1"/>
    <col min="19" max="19" width="14" style="65" bestFit="1" customWidth="1"/>
    <col min="20" max="20" width="11.140625" style="57" bestFit="1" customWidth="1"/>
    <col min="21" max="24" width="9.140625" style="57"/>
    <col min="25" max="25" width="13.85546875" style="57" bestFit="1" customWidth="1"/>
    <col min="26" max="16384" width="9.140625" style="57"/>
  </cols>
  <sheetData>
    <row r="1" spans="2:25" ht="21" customHeight="1" x14ac:dyDescent="0.3">
      <c r="B1" s="17" t="str" cm="1">
        <f t="array" ref="B1">Company_Name</f>
        <v>Pinnacle Supplier DBA Candy Confection</v>
      </c>
    </row>
    <row r="2" spans="2:25" ht="16.5" customHeight="1" x14ac:dyDescent="0.2">
      <c r="B2" s="1" t="s">
        <v>346</v>
      </c>
    </row>
    <row r="3" spans="2:25" ht="16.5" customHeight="1" x14ac:dyDescent="0.2">
      <c r="B3" s="4" t="s">
        <v>243</v>
      </c>
    </row>
    <row r="4" spans="2:25" ht="15" customHeight="1" x14ac:dyDescent="0.25">
      <c r="B4" s="60"/>
    </row>
    <row r="5" spans="2:25" s="107" customFormat="1" ht="15" customHeight="1" x14ac:dyDescent="0.25">
      <c r="B5" s="103" t="s">
        <v>229</v>
      </c>
      <c r="C5" s="104" t="s">
        <v>230</v>
      </c>
      <c r="D5" s="104" t="s">
        <v>264</v>
      </c>
      <c r="E5" s="105" t="s">
        <v>231</v>
      </c>
      <c r="F5" s="105" t="s">
        <v>232</v>
      </c>
      <c r="G5" s="105" t="s">
        <v>233</v>
      </c>
      <c r="H5" s="105" t="s">
        <v>234</v>
      </c>
      <c r="I5" s="105" t="s">
        <v>235</v>
      </c>
      <c r="J5" s="105" t="s">
        <v>236</v>
      </c>
      <c r="K5" s="105" t="s">
        <v>237</v>
      </c>
      <c r="L5" s="105" t="s">
        <v>238</v>
      </c>
      <c r="M5" s="105" t="s">
        <v>239</v>
      </c>
      <c r="N5" s="105" t="s">
        <v>240</v>
      </c>
      <c r="O5" s="105" t="s">
        <v>241</v>
      </c>
      <c r="P5" s="105" t="s">
        <v>242</v>
      </c>
      <c r="Q5" s="105" t="s">
        <v>436</v>
      </c>
      <c r="R5" s="105" t="s">
        <v>10</v>
      </c>
      <c r="S5" s="106" t="s">
        <v>262</v>
      </c>
    </row>
    <row r="6" spans="2:25" ht="15" customHeight="1" x14ac:dyDescent="0.25">
      <c r="B6" s="57" t="s">
        <v>191</v>
      </c>
      <c r="C6" s="65" t="s">
        <v>112</v>
      </c>
      <c r="D6" s="65" t="b" cm="1">
        <f t="array" ref="D6">_xlfn.XLOOKUP(sales_forecast_tbl[[#This Row],[Customer Name]],_xlfn.ANCHORARRAY(Assumptions!$C$34),Assumptions!$D$34:$D$107)</f>
        <v>1</v>
      </c>
      <c r="E6" s="108">
        <v>4242</v>
      </c>
      <c r="F6" s="108">
        <v>4666</v>
      </c>
      <c r="G6" s="108">
        <v>977</v>
      </c>
      <c r="H6" s="109">
        <v>2929</v>
      </c>
      <c r="I6" s="109">
        <v>1677</v>
      </c>
      <c r="J6" s="108">
        <v>984</v>
      </c>
      <c r="K6" s="108">
        <v>994</v>
      </c>
      <c r="L6" s="108">
        <v>739</v>
      </c>
      <c r="M6" s="108">
        <v>969</v>
      </c>
      <c r="N6" s="108">
        <v>1220</v>
      </c>
      <c r="O6" s="108">
        <v>1915</v>
      </c>
      <c r="P6" s="108">
        <v>3181</v>
      </c>
      <c r="Q6" s="108">
        <v>3898.6306446492704</v>
      </c>
      <c r="R6" s="108">
        <f>SUM(sales_forecast_tbl[[#This Row],[Feb-25]:[Jan-26]])</f>
        <v>24149.630644649271</v>
      </c>
      <c r="S6" s="120">
        <f>sales_forecast_tbl[[#This Row],[Total]]/sales_forecast_tbl[[#Totals],[Total]]</f>
        <v>1.18073852905341E-3</v>
      </c>
      <c r="Y6" s="57">
        <v>0.91905484315164321</v>
      </c>
    </row>
    <row r="7" spans="2:25" ht="15" customHeight="1" x14ac:dyDescent="0.25">
      <c r="B7" s="57" t="s">
        <v>192</v>
      </c>
      <c r="C7" s="65" t="s">
        <v>112</v>
      </c>
      <c r="D7" s="65" t="b" cm="1">
        <f t="array" ref="D7">_xlfn.XLOOKUP(sales_forecast_tbl[[#This Row],[Customer Name]],_xlfn.ANCHORARRAY(Assumptions!$C$34),Assumptions!$D$34:$D$107)</f>
        <v>1</v>
      </c>
      <c r="E7" s="108">
        <v>3759</v>
      </c>
      <c r="F7" s="108">
        <v>4244</v>
      </c>
      <c r="G7" s="108">
        <v>899</v>
      </c>
      <c r="H7" s="109">
        <v>2699</v>
      </c>
      <c r="I7" s="109">
        <v>1519</v>
      </c>
      <c r="J7" s="108">
        <v>871</v>
      </c>
      <c r="K7" s="108">
        <v>879</v>
      </c>
      <c r="L7" s="108">
        <v>639</v>
      </c>
      <c r="M7" s="108">
        <v>857</v>
      </c>
      <c r="N7" s="108">
        <v>1071</v>
      </c>
      <c r="O7" s="108">
        <v>1697</v>
      </c>
      <c r="P7" s="108">
        <v>2771</v>
      </c>
      <c r="Q7" s="108">
        <v>3955.0734167307987</v>
      </c>
      <c r="R7" s="108">
        <f>SUM(sales_forecast_tbl[[#This Row],[Feb-25]:[Jan-26]])</f>
        <v>22101.0734167308</v>
      </c>
      <c r="S7" s="120">
        <f>sales_forecast_tbl[[#This Row],[Total]]/sales_forecast_tbl[[#Totals],[Total]]</f>
        <v>1.080579214670268E-3</v>
      </c>
      <c r="Y7" s="57">
        <v>1.0521610579225322</v>
      </c>
    </row>
    <row r="8" spans="2:25" ht="15" customHeight="1" x14ac:dyDescent="0.25">
      <c r="B8" s="57" t="s">
        <v>193</v>
      </c>
      <c r="C8" s="65" t="s">
        <v>112</v>
      </c>
      <c r="D8" s="65" t="b" cm="1">
        <f t="array" ref="D8">_xlfn.XLOOKUP(sales_forecast_tbl[[#This Row],[Customer Name]],_xlfn.ANCHORARRAY(Assumptions!$C$34),Assumptions!$D$34:$D$107)</f>
        <v>1</v>
      </c>
      <c r="E8" s="108">
        <v>4011</v>
      </c>
      <c r="F8" s="108">
        <v>4539</v>
      </c>
      <c r="G8" s="108">
        <v>960</v>
      </c>
      <c r="H8" s="109">
        <v>2881</v>
      </c>
      <c r="I8" s="109">
        <v>1643</v>
      </c>
      <c r="J8" s="108">
        <v>967</v>
      </c>
      <c r="K8" s="108">
        <v>925</v>
      </c>
      <c r="L8" s="108">
        <v>710</v>
      </c>
      <c r="M8" s="108">
        <v>963</v>
      </c>
      <c r="N8" s="108">
        <v>1170</v>
      </c>
      <c r="O8" s="108">
        <v>1957</v>
      </c>
      <c r="P8" s="108">
        <v>3159</v>
      </c>
      <c r="Q8" s="108">
        <v>4517.3313931545954</v>
      </c>
      <c r="R8" s="108">
        <f>SUM(sales_forecast_tbl[[#This Row],[Feb-25]:[Jan-26]])</f>
        <v>24391.331393154596</v>
      </c>
      <c r="S8" s="120">
        <f>sales_forecast_tbl[[#This Row],[Total]]/sales_forecast_tbl[[#Totals],[Total]]</f>
        <v>1.1925559100502709E-3</v>
      </c>
      <c r="Y8" s="57">
        <v>1.1262357001133372</v>
      </c>
    </row>
    <row r="9" spans="2:25" ht="15" customHeight="1" x14ac:dyDescent="0.25">
      <c r="B9" s="57" t="s">
        <v>194</v>
      </c>
      <c r="C9" s="65" t="s">
        <v>112</v>
      </c>
      <c r="D9" s="65" t="b" cm="1">
        <f t="array" ref="D9">_xlfn.XLOOKUP(sales_forecast_tbl[[#This Row],[Customer Name]],_xlfn.ANCHORARRAY(Assumptions!$C$34),Assumptions!$D$34:$D$107)</f>
        <v>1</v>
      </c>
      <c r="E9" s="108">
        <v>3812</v>
      </c>
      <c r="F9" s="108">
        <v>4411</v>
      </c>
      <c r="G9" s="108">
        <v>939</v>
      </c>
      <c r="H9" s="109">
        <v>2763</v>
      </c>
      <c r="I9" s="109">
        <v>1598</v>
      </c>
      <c r="J9" s="108">
        <v>908</v>
      </c>
      <c r="K9" s="108">
        <v>919</v>
      </c>
      <c r="L9" s="108">
        <v>692</v>
      </c>
      <c r="M9" s="108">
        <v>939</v>
      </c>
      <c r="N9" s="108">
        <v>1142</v>
      </c>
      <c r="O9" s="108">
        <v>1893</v>
      </c>
      <c r="P9" s="108">
        <v>3051</v>
      </c>
      <c r="Q9" s="108">
        <v>4707.0844561610784</v>
      </c>
      <c r="R9" s="108">
        <f>SUM(sales_forecast_tbl[[#This Row],[Feb-25]:[Jan-26]])</f>
        <v>23962.084456161079</v>
      </c>
      <c r="S9" s="120">
        <f>sales_forecast_tbl[[#This Row],[Total]]/sales_forecast_tbl[[#Totals],[Total]]</f>
        <v>1.17156890596544E-3</v>
      </c>
      <c r="Y9" s="57">
        <v>1.2348070451629272</v>
      </c>
    </row>
    <row r="10" spans="2:25" ht="15" customHeight="1" x14ac:dyDescent="0.25">
      <c r="B10" s="57" t="s">
        <v>195</v>
      </c>
      <c r="C10" s="65" t="s">
        <v>112</v>
      </c>
      <c r="D10" s="65" t="b" cm="1">
        <f t="array" ref="D10">_xlfn.XLOOKUP(sales_forecast_tbl[[#This Row],[Customer Name]],_xlfn.ANCHORARRAY(Assumptions!$C$34),Assumptions!$D$34:$D$107)</f>
        <v>1</v>
      </c>
      <c r="E10" s="108">
        <v>4697</v>
      </c>
      <c r="F10" s="108">
        <v>5095</v>
      </c>
      <c r="G10" s="108">
        <v>1097</v>
      </c>
      <c r="H10" s="109">
        <v>3270</v>
      </c>
      <c r="I10" s="109">
        <v>1945</v>
      </c>
      <c r="J10" s="108">
        <v>1093</v>
      </c>
      <c r="K10" s="108">
        <v>1100</v>
      </c>
      <c r="L10" s="108">
        <v>792</v>
      </c>
      <c r="M10" s="108">
        <v>1097</v>
      </c>
      <c r="N10" s="108">
        <v>1348</v>
      </c>
      <c r="O10" s="108">
        <v>2187</v>
      </c>
      <c r="P10" s="108">
        <v>3551</v>
      </c>
      <c r="Q10" s="108">
        <v>4747.2583688477898</v>
      </c>
      <c r="R10" s="108">
        <f>SUM(sales_forecast_tbl[[#This Row],[Feb-25]:[Jan-26]])</f>
        <v>27322.25836884779</v>
      </c>
      <c r="S10" s="120">
        <f>sales_forecast_tbl[[#This Row],[Total]]/sales_forecast_tbl[[#Totals],[Total]]</f>
        <v>1.3358565864442472E-3</v>
      </c>
      <c r="Y10" s="57">
        <v>1.0107000998185629</v>
      </c>
    </row>
    <row r="11" spans="2:25" ht="15" customHeight="1" x14ac:dyDescent="0.25">
      <c r="B11" s="57" t="s">
        <v>196</v>
      </c>
      <c r="C11" s="65" t="s">
        <v>112</v>
      </c>
      <c r="D11" s="65" t="b" cm="1">
        <f t="array" ref="D11">_xlfn.XLOOKUP(sales_forecast_tbl[[#This Row],[Customer Name]],_xlfn.ANCHORARRAY(Assumptions!$C$34),Assumptions!$D$34:$D$107)</f>
        <v>1</v>
      </c>
      <c r="E11" s="108">
        <v>7837</v>
      </c>
      <c r="F11" s="108">
        <v>8915</v>
      </c>
      <c r="G11" s="108">
        <v>1873</v>
      </c>
      <c r="H11" s="109">
        <v>5446</v>
      </c>
      <c r="I11" s="109">
        <v>3267</v>
      </c>
      <c r="J11" s="108">
        <v>1856</v>
      </c>
      <c r="K11" s="108">
        <v>1834</v>
      </c>
      <c r="L11" s="108">
        <v>1391</v>
      </c>
      <c r="M11" s="108">
        <v>1867</v>
      </c>
      <c r="N11" s="108">
        <v>2331</v>
      </c>
      <c r="O11" s="108">
        <v>3700</v>
      </c>
      <c r="P11" s="108">
        <v>5924</v>
      </c>
      <c r="Q11" s="108">
        <v>9602.7628219850048</v>
      </c>
      <c r="R11" s="108">
        <f>SUM(sales_forecast_tbl[[#This Row],[Feb-25]:[Jan-26]])</f>
        <v>48006.762821985001</v>
      </c>
      <c r="S11" s="120">
        <f>sales_forecast_tbl[[#This Row],[Total]]/sales_forecast_tbl[[#Totals],[Total]]</f>
        <v>2.3471760439369538E-3</v>
      </c>
      <c r="Y11" s="57">
        <v>1.2253110657120079</v>
      </c>
    </row>
    <row r="12" spans="2:25" ht="15" customHeight="1" x14ac:dyDescent="0.25">
      <c r="B12" s="57" t="s">
        <v>197</v>
      </c>
      <c r="C12" s="65" t="s">
        <v>112</v>
      </c>
      <c r="D12" s="65" t="b" cm="1">
        <f t="array" ref="D12">_xlfn.XLOOKUP(sales_forecast_tbl[[#This Row],[Customer Name]],_xlfn.ANCHORARRAY(Assumptions!$C$34),Assumptions!$D$34:$D$107)</f>
        <v>1</v>
      </c>
      <c r="E12" s="108">
        <v>8340</v>
      </c>
      <c r="F12" s="108">
        <v>9468</v>
      </c>
      <c r="G12" s="108">
        <v>1924</v>
      </c>
      <c r="H12" s="109">
        <v>5736</v>
      </c>
      <c r="I12" s="109">
        <v>3425</v>
      </c>
      <c r="J12" s="108">
        <v>1930</v>
      </c>
      <c r="K12" s="108">
        <v>1913</v>
      </c>
      <c r="L12" s="108">
        <v>1439</v>
      </c>
      <c r="M12" s="108">
        <v>1924</v>
      </c>
      <c r="N12" s="108">
        <v>2457</v>
      </c>
      <c r="O12" s="108">
        <v>3975</v>
      </c>
      <c r="P12" s="108">
        <v>6480</v>
      </c>
      <c r="Q12" s="108">
        <v>8821.4160320482242</v>
      </c>
      <c r="R12" s="108">
        <f>SUM(sales_forecast_tbl[[#This Row],[Feb-25]:[Jan-26]])</f>
        <v>49492.416032048226</v>
      </c>
      <c r="S12" s="120">
        <f>sales_forecast_tbl[[#This Row],[Total]]/sales_forecast_tbl[[#Totals],[Total]]</f>
        <v>2.4198135103953564E-3</v>
      </c>
      <c r="Y12" s="57">
        <v>1.0577237448499071</v>
      </c>
    </row>
    <row r="13" spans="2:25" ht="15" customHeight="1" x14ac:dyDescent="0.25">
      <c r="B13" s="57" t="s">
        <v>198</v>
      </c>
      <c r="C13" s="65" t="s">
        <v>112</v>
      </c>
      <c r="D13" s="65" t="b" cm="1">
        <f t="array" ref="D13">_xlfn.XLOOKUP(sales_forecast_tbl[[#This Row],[Customer Name]],_xlfn.ANCHORARRAY(Assumptions!$C$34),Assumptions!$D$34:$D$107)</f>
        <v>1</v>
      </c>
      <c r="E13" s="108">
        <v>7638</v>
      </c>
      <c r="F13" s="108">
        <v>8281</v>
      </c>
      <c r="G13" s="108">
        <v>1742</v>
      </c>
      <c r="H13" s="109">
        <v>5257</v>
      </c>
      <c r="I13" s="109">
        <v>3018</v>
      </c>
      <c r="J13" s="108">
        <v>1750</v>
      </c>
      <c r="K13" s="108">
        <v>1781</v>
      </c>
      <c r="L13" s="108">
        <v>1354</v>
      </c>
      <c r="M13" s="108">
        <v>1753</v>
      </c>
      <c r="N13" s="108">
        <v>2175</v>
      </c>
      <c r="O13" s="108">
        <v>3499</v>
      </c>
      <c r="P13" s="108">
        <v>5871</v>
      </c>
      <c r="Q13" s="108">
        <v>7863.5304191774703</v>
      </c>
      <c r="R13" s="108">
        <f>SUM(sales_forecast_tbl[[#This Row],[Feb-25]:[Jan-26]])</f>
        <v>44344.53041917747</v>
      </c>
      <c r="S13" s="120">
        <f>sales_forecast_tbl[[#This Row],[Total]]/sales_forecast_tbl[[#Totals],[Total]]</f>
        <v>2.1681199347992853E-3</v>
      </c>
      <c r="Y13" s="57">
        <v>1.0295274180646072</v>
      </c>
    </row>
    <row r="14" spans="2:25" ht="15" customHeight="1" x14ac:dyDescent="0.25">
      <c r="B14" s="57" t="s">
        <v>199</v>
      </c>
      <c r="C14" s="65" t="s">
        <v>112</v>
      </c>
      <c r="D14" s="65" t="b" cm="1">
        <f t="array" ref="D14">_xlfn.XLOOKUP(sales_forecast_tbl[[#This Row],[Customer Name]],_xlfn.ANCHORARRAY(Assumptions!$C$34),Assumptions!$D$34:$D$107)</f>
        <v>1</v>
      </c>
      <c r="E14" s="108">
        <v>8037</v>
      </c>
      <c r="F14" s="108">
        <v>9177</v>
      </c>
      <c r="G14" s="108">
        <v>1947</v>
      </c>
      <c r="H14" s="109">
        <v>5647</v>
      </c>
      <c r="I14" s="109">
        <v>3329</v>
      </c>
      <c r="J14" s="108">
        <v>1911</v>
      </c>
      <c r="K14" s="108">
        <v>1887</v>
      </c>
      <c r="L14" s="108">
        <v>1433</v>
      </c>
      <c r="M14" s="108">
        <v>1931</v>
      </c>
      <c r="N14" s="108">
        <v>2352</v>
      </c>
      <c r="O14" s="108">
        <v>3915</v>
      </c>
      <c r="P14" s="108">
        <v>6282</v>
      </c>
      <c r="Q14" s="108">
        <v>7495.0651385043475</v>
      </c>
      <c r="R14" s="108">
        <f>SUM(sales_forecast_tbl[[#This Row],[Feb-25]:[Jan-26]])</f>
        <v>47306.065138504346</v>
      </c>
      <c r="S14" s="120">
        <f>sales_forecast_tbl[[#This Row],[Total]]/sales_forecast_tbl[[#Totals],[Total]]</f>
        <v>2.31291710373708E-3</v>
      </c>
      <c r="Y14" s="57">
        <v>0.93257000603513096</v>
      </c>
    </row>
    <row r="15" spans="2:25" ht="15" customHeight="1" x14ac:dyDescent="0.25">
      <c r="B15" s="57" t="s">
        <v>200</v>
      </c>
      <c r="C15" s="65" t="s">
        <v>112</v>
      </c>
      <c r="D15" s="65" t="b" cm="1">
        <f t="array" ref="D15">_xlfn.XLOOKUP(sales_forecast_tbl[[#This Row],[Customer Name]],_xlfn.ANCHORARRAY(Assumptions!$C$34),Assumptions!$D$34:$D$107)</f>
        <v>1</v>
      </c>
      <c r="E15" s="108">
        <v>8179</v>
      </c>
      <c r="F15" s="108">
        <v>8997</v>
      </c>
      <c r="G15" s="108">
        <v>1894</v>
      </c>
      <c r="H15" s="109">
        <v>5730</v>
      </c>
      <c r="I15" s="109">
        <v>3286</v>
      </c>
      <c r="J15" s="108">
        <v>1881</v>
      </c>
      <c r="K15" s="108">
        <v>1933</v>
      </c>
      <c r="L15" s="108">
        <v>1394</v>
      </c>
      <c r="M15" s="108">
        <v>1908</v>
      </c>
      <c r="N15" s="108">
        <v>2413</v>
      </c>
      <c r="O15" s="108">
        <v>3727</v>
      </c>
      <c r="P15" s="108">
        <v>6203</v>
      </c>
      <c r="Q15" s="108">
        <v>8488.4617867847846</v>
      </c>
      <c r="R15" s="108">
        <f>SUM(sales_forecast_tbl[[#This Row],[Feb-25]:[Jan-26]])</f>
        <v>47854.461786784785</v>
      </c>
      <c r="S15" s="120">
        <f>sales_forecast_tbl[[#This Row],[Total]]/sales_forecast_tbl[[#Totals],[Total]]</f>
        <v>2.3397296484652507E-3</v>
      </c>
      <c r="Y15" s="57">
        <v>1.0378361397218223</v>
      </c>
    </row>
    <row r="16" spans="2:25" ht="15" customHeight="1" x14ac:dyDescent="0.25">
      <c r="B16" s="57" t="s">
        <v>201</v>
      </c>
      <c r="C16" s="65" t="s">
        <v>112</v>
      </c>
      <c r="D16" s="65" t="b" cm="1">
        <f t="array" ref="D16">_xlfn.XLOOKUP(sales_forecast_tbl[[#This Row],[Customer Name]],_xlfn.ANCHORARRAY(Assumptions!$C$34),Assumptions!$D$34:$D$107)</f>
        <v>1</v>
      </c>
      <c r="E16" s="108">
        <v>12457</v>
      </c>
      <c r="F16" s="108">
        <v>13709</v>
      </c>
      <c r="G16" s="108">
        <v>2920</v>
      </c>
      <c r="H16" s="109">
        <v>8871</v>
      </c>
      <c r="I16" s="109">
        <v>5045</v>
      </c>
      <c r="J16" s="108">
        <v>2942</v>
      </c>
      <c r="K16" s="108">
        <v>2934</v>
      </c>
      <c r="L16" s="108">
        <v>2187</v>
      </c>
      <c r="M16" s="108">
        <v>2919</v>
      </c>
      <c r="N16" s="108">
        <v>3676</v>
      </c>
      <c r="O16" s="108">
        <v>5788</v>
      </c>
      <c r="P16" s="108">
        <v>9331</v>
      </c>
      <c r="Q16" s="108">
        <v>12141.297404386369</v>
      </c>
      <c r="R16" s="108">
        <f>SUM(sales_forecast_tbl[[#This Row],[Feb-25]:[Jan-26]])</f>
        <v>72463.297404386365</v>
      </c>
      <c r="S16" s="120">
        <f>sales_forecast_tbl[[#This Row],[Total]]/sales_forecast_tbl[[#Totals],[Total]]</f>
        <v>3.5429199082418323E-3</v>
      </c>
      <c r="Y16" s="57">
        <v>0.97465661109306967</v>
      </c>
    </row>
    <row r="17" spans="2:25" ht="15" customHeight="1" x14ac:dyDescent="0.25">
      <c r="B17" s="57" t="s">
        <v>202</v>
      </c>
      <c r="C17" s="65" t="s">
        <v>112</v>
      </c>
      <c r="D17" s="65" t="b" cm="1">
        <f t="array" ref="D17">_xlfn.XLOOKUP(sales_forecast_tbl[[#This Row],[Customer Name]],_xlfn.ANCHORARRAY(Assumptions!$C$34),Assumptions!$D$34:$D$107)</f>
        <v>1</v>
      </c>
      <c r="E17" s="108">
        <v>13889</v>
      </c>
      <c r="F17" s="108">
        <v>15300</v>
      </c>
      <c r="G17" s="108">
        <v>3209</v>
      </c>
      <c r="H17" s="109">
        <v>9434</v>
      </c>
      <c r="I17" s="109">
        <v>5675</v>
      </c>
      <c r="J17" s="108">
        <v>3266</v>
      </c>
      <c r="K17" s="108">
        <v>3209</v>
      </c>
      <c r="L17" s="108">
        <v>2371</v>
      </c>
      <c r="M17" s="108">
        <v>3202</v>
      </c>
      <c r="N17" s="108">
        <v>4050</v>
      </c>
      <c r="O17" s="108">
        <v>6486</v>
      </c>
      <c r="P17" s="108">
        <v>10209</v>
      </c>
      <c r="Q17" s="108">
        <v>16855.904647824555</v>
      </c>
      <c r="R17" s="108">
        <f>SUM(sales_forecast_tbl[[#This Row],[Feb-25]:[Jan-26]])</f>
        <v>83266.904647824558</v>
      </c>
      <c r="S17" s="120">
        <f>sales_forecast_tbl[[#This Row],[Total]]/sales_forecast_tbl[[#Totals],[Total]]</f>
        <v>4.0711364889751004E-3</v>
      </c>
      <c r="Y17" s="57">
        <v>1.2136154257199623</v>
      </c>
    </row>
    <row r="18" spans="2:25" ht="15" customHeight="1" x14ac:dyDescent="0.25">
      <c r="B18" s="57" t="s">
        <v>203</v>
      </c>
      <c r="C18" s="65" t="s">
        <v>112</v>
      </c>
      <c r="D18" s="65" t="b" cm="1">
        <f t="array" ref="D18">_xlfn.XLOOKUP(sales_forecast_tbl[[#This Row],[Customer Name]],_xlfn.ANCHORARRAY(Assumptions!$C$34),Assumptions!$D$34:$D$107)</f>
        <v>1</v>
      </c>
      <c r="E18" s="108">
        <v>13020</v>
      </c>
      <c r="F18" s="108">
        <v>14341</v>
      </c>
      <c r="G18" s="108">
        <v>3076</v>
      </c>
      <c r="H18" s="109">
        <v>9286</v>
      </c>
      <c r="I18" s="109">
        <v>5373</v>
      </c>
      <c r="J18" s="108">
        <v>3005</v>
      </c>
      <c r="K18" s="108">
        <v>3025</v>
      </c>
      <c r="L18" s="108">
        <v>2305</v>
      </c>
      <c r="M18" s="108">
        <v>3085</v>
      </c>
      <c r="N18" s="108">
        <v>3864</v>
      </c>
      <c r="O18" s="108">
        <v>6185</v>
      </c>
      <c r="P18" s="108">
        <v>9959</v>
      </c>
      <c r="Q18" s="108">
        <v>15693.806454111893</v>
      </c>
      <c r="R18" s="108">
        <f>SUM(sales_forecast_tbl[[#This Row],[Feb-25]:[Jan-26]])</f>
        <v>79197.806454111895</v>
      </c>
      <c r="S18" s="120">
        <f>sales_forecast_tbl[[#This Row],[Total]]/sales_forecast_tbl[[#Totals],[Total]]</f>
        <v>3.8721876484518313E-3</v>
      </c>
      <c r="Y18" s="57">
        <v>1.2053614788104372</v>
      </c>
    </row>
    <row r="19" spans="2:25" ht="15" customHeight="1" x14ac:dyDescent="0.25">
      <c r="B19" s="57" t="s">
        <v>204</v>
      </c>
      <c r="C19" s="65" t="s">
        <v>112</v>
      </c>
      <c r="D19" s="65" t="b" cm="1">
        <f t="array" ref="D19">_xlfn.XLOOKUP(sales_forecast_tbl[[#This Row],[Customer Name]],_xlfn.ANCHORARRAY(Assumptions!$C$34),Assumptions!$D$34:$D$107)</f>
        <v>1</v>
      </c>
      <c r="E19" s="108">
        <v>12987</v>
      </c>
      <c r="F19" s="108">
        <v>14128</v>
      </c>
      <c r="G19" s="108">
        <v>3025</v>
      </c>
      <c r="H19" s="109">
        <v>8962</v>
      </c>
      <c r="I19" s="109">
        <v>5334</v>
      </c>
      <c r="J19" s="108">
        <v>2992</v>
      </c>
      <c r="K19" s="108">
        <v>3055</v>
      </c>
      <c r="L19" s="108">
        <v>2216</v>
      </c>
      <c r="M19" s="108">
        <v>2977</v>
      </c>
      <c r="N19" s="108">
        <v>3775</v>
      </c>
      <c r="O19" s="108">
        <v>6040</v>
      </c>
      <c r="P19" s="108">
        <v>9614</v>
      </c>
      <c r="Q19" s="108">
        <v>10910.341047165512</v>
      </c>
      <c r="R19" s="108">
        <f>SUM(sales_forecast_tbl[[#This Row],[Feb-25]:[Jan-26]])</f>
        <v>73028.341047165508</v>
      </c>
      <c r="S19" s="120">
        <f>sales_forecast_tbl[[#This Row],[Total]]/sales_forecast_tbl[[#Totals],[Total]]</f>
        <v>3.5705463680185102E-3</v>
      </c>
      <c r="Y19" s="57">
        <v>0.84009710072884514</v>
      </c>
    </row>
    <row r="20" spans="2:25" ht="15" customHeight="1" x14ac:dyDescent="0.25">
      <c r="B20" s="57" t="s">
        <v>205</v>
      </c>
      <c r="C20" s="65" t="s">
        <v>112</v>
      </c>
      <c r="D20" s="65" t="b" cm="1">
        <f t="array" ref="D20">_xlfn.XLOOKUP(sales_forecast_tbl[[#This Row],[Customer Name]],_xlfn.ANCHORARRAY(Assumptions!$C$34),Assumptions!$D$34:$D$107)</f>
        <v>1</v>
      </c>
      <c r="E20" s="108">
        <v>12624</v>
      </c>
      <c r="F20" s="108">
        <v>14337</v>
      </c>
      <c r="G20" s="108">
        <v>2964</v>
      </c>
      <c r="H20" s="109">
        <v>8869</v>
      </c>
      <c r="I20" s="109">
        <v>5253</v>
      </c>
      <c r="J20" s="108">
        <v>2966</v>
      </c>
      <c r="K20" s="108">
        <v>2994</v>
      </c>
      <c r="L20" s="108">
        <v>2246</v>
      </c>
      <c r="M20" s="108">
        <v>3019</v>
      </c>
      <c r="N20" s="108">
        <v>3757</v>
      </c>
      <c r="O20" s="108">
        <v>5924</v>
      </c>
      <c r="P20" s="108">
        <v>9931</v>
      </c>
      <c r="Q20" s="108">
        <v>11310.81814831088</v>
      </c>
      <c r="R20" s="108">
        <f>SUM(sales_forecast_tbl[[#This Row],[Feb-25]:[Jan-26]])</f>
        <v>73570.818148310878</v>
      </c>
      <c r="S20" s="120">
        <f>sales_forecast_tbl[[#This Row],[Total]]/sales_forecast_tbl[[#Totals],[Total]]</f>
        <v>3.5970694906234291E-3</v>
      </c>
      <c r="Y20" s="57">
        <v>0.89597735648850452</v>
      </c>
    </row>
    <row r="21" spans="2:25" ht="15" customHeight="1" x14ac:dyDescent="0.25">
      <c r="B21" s="57" t="s">
        <v>206</v>
      </c>
      <c r="C21" s="65" t="s">
        <v>112</v>
      </c>
      <c r="D21" s="65" t="b" cm="1">
        <f t="array" ref="D21">_xlfn.XLOOKUP(sales_forecast_tbl[[#This Row],[Customer Name]],_xlfn.ANCHORARRAY(Assumptions!$C$34),Assumptions!$D$34:$D$107)</f>
        <v>1</v>
      </c>
      <c r="E21" s="108">
        <v>20059</v>
      </c>
      <c r="F21" s="108">
        <v>22157</v>
      </c>
      <c r="G21" s="108">
        <v>4894</v>
      </c>
      <c r="H21" s="109">
        <v>14002</v>
      </c>
      <c r="I21" s="109">
        <v>8580</v>
      </c>
      <c r="J21" s="108">
        <v>4666</v>
      </c>
      <c r="K21" s="108">
        <v>4957</v>
      </c>
      <c r="L21" s="108">
        <v>3704</v>
      </c>
      <c r="M21" s="108">
        <v>4830</v>
      </c>
      <c r="N21" s="108">
        <v>6150</v>
      </c>
      <c r="O21" s="108">
        <v>9627</v>
      </c>
      <c r="P21" s="108">
        <v>15772</v>
      </c>
      <c r="Q21" s="108">
        <v>24513.751396579188</v>
      </c>
      <c r="R21" s="108">
        <f>SUM(sales_forecast_tbl[[#This Row],[Feb-25]:[Jan-26]])</f>
        <v>123852.75139657919</v>
      </c>
      <c r="S21" s="120">
        <f>sales_forecast_tbl[[#This Row],[Total]]/sales_forecast_tbl[[#Totals],[Total]]</f>
        <v>6.0554845602003374E-3</v>
      </c>
      <c r="Y21" s="57">
        <v>1.2220824266702821</v>
      </c>
    </row>
    <row r="22" spans="2:25" ht="15" customHeight="1" x14ac:dyDescent="0.25">
      <c r="B22" s="57" t="s">
        <v>207</v>
      </c>
      <c r="C22" s="65" t="s">
        <v>112</v>
      </c>
      <c r="D22" s="65" t="b" cm="1">
        <f t="array" ref="D22">_xlfn.XLOOKUP(sales_forecast_tbl[[#This Row],[Customer Name]],_xlfn.ANCHORARRAY(Assumptions!$C$34),Assumptions!$D$34:$D$107)</f>
        <v>1</v>
      </c>
      <c r="E22" s="108">
        <v>18210</v>
      </c>
      <c r="F22" s="108">
        <v>21464</v>
      </c>
      <c r="G22" s="108">
        <v>4251</v>
      </c>
      <c r="H22" s="109">
        <v>12873</v>
      </c>
      <c r="I22" s="109">
        <v>7958</v>
      </c>
      <c r="J22" s="108">
        <v>4383</v>
      </c>
      <c r="K22" s="108">
        <v>4452</v>
      </c>
      <c r="L22" s="108">
        <v>3346</v>
      </c>
      <c r="M22" s="108">
        <v>4283</v>
      </c>
      <c r="N22" s="108">
        <v>5669</v>
      </c>
      <c r="O22" s="108">
        <v>8949</v>
      </c>
      <c r="P22" s="108">
        <v>14578</v>
      </c>
      <c r="Q22" s="108">
        <v>20232.883648392806</v>
      </c>
      <c r="R22" s="108">
        <f>SUM(sales_forecast_tbl[[#This Row],[Feb-25]:[Jan-26]])</f>
        <v>112438.8836483928</v>
      </c>
      <c r="S22" s="120">
        <f>sales_forecast_tbl[[#This Row],[Total]]/sales_forecast_tbl[[#Totals],[Total]]</f>
        <v>5.4974307491873009E-3</v>
      </c>
      <c r="Y22" s="57">
        <v>1.1110864167156951</v>
      </c>
    </row>
    <row r="23" spans="2:25" ht="15" customHeight="1" x14ac:dyDescent="0.25">
      <c r="B23" s="57" t="s">
        <v>208</v>
      </c>
      <c r="C23" s="65" t="s">
        <v>112</v>
      </c>
      <c r="D23" s="65" t="b" cm="1">
        <f t="array" ref="D23">_xlfn.XLOOKUP(sales_forecast_tbl[[#This Row],[Customer Name]],_xlfn.ANCHORARRAY(Assumptions!$C$34),Assumptions!$D$34:$D$107)</f>
        <v>1</v>
      </c>
      <c r="E23" s="108">
        <v>20597</v>
      </c>
      <c r="F23" s="108">
        <v>22378</v>
      </c>
      <c r="G23" s="108">
        <v>4835</v>
      </c>
      <c r="H23" s="109">
        <v>14363</v>
      </c>
      <c r="I23" s="109">
        <v>8292</v>
      </c>
      <c r="J23" s="108">
        <v>4735</v>
      </c>
      <c r="K23" s="108">
        <v>4741</v>
      </c>
      <c r="L23" s="108">
        <v>3525</v>
      </c>
      <c r="M23" s="108">
        <v>4634</v>
      </c>
      <c r="N23" s="108">
        <v>5797</v>
      </c>
      <c r="O23" s="108">
        <v>9097</v>
      </c>
      <c r="P23" s="108">
        <v>14892</v>
      </c>
      <c r="Q23" s="108">
        <v>17201.978726936595</v>
      </c>
      <c r="R23" s="108">
        <f>SUM(sales_forecast_tbl[[#This Row],[Feb-25]:[Jan-26]])</f>
        <v>114490.97872693659</v>
      </c>
      <c r="S23" s="120">
        <f>sales_forecast_tbl[[#This Row],[Total]]/sales_forecast_tbl[[#Totals],[Total]]</f>
        <v>5.5977630383295526E-3</v>
      </c>
      <c r="Y23" s="57">
        <v>0.83516913758977496</v>
      </c>
    </row>
    <row r="24" spans="2:25" ht="15" customHeight="1" x14ac:dyDescent="0.25">
      <c r="B24" s="57" t="s">
        <v>209</v>
      </c>
      <c r="C24" s="65" t="s">
        <v>112</v>
      </c>
      <c r="D24" s="65" t="b" cm="1">
        <f t="array" ref="D24">_xlfn.XLOOKUP(sales_forecast_tbl[[#This Row],[Customer Name]],_xlfn.ANCHORARRAY(Assumptions!$C$34),Assumptions!$D$34:$D$107)</f>
        <v>1</v>
      </c>
      <c r="E24" s="108">
        <v>19640</v>
      </c>
      <c r="F24" s="108">
        <v>22410</v>
      </c>
      <c r="G24" s="108">
        <v>4815</v>
      </c>
      <c r="H24" s="109">
        <v>13721</v>
      </c>
      <c r="I24" s="109">
        <v>8408</v>
      </c>
      <c r="J24" s="108">
        <v>4667</v>
      </c>
      <c r="K24" s="108">
        <v>4671</v>
      </c>
      <c r="L24" s="108">
        <v>3573</v>
      </c>
      <c r="M24" s="108">
        <v>4550</v>
      </c>
      <c r="N24" s="108">
        <v>5844</v>
      </c>
      <c r="O24" s="108">
        <v>9579</v>
      </c>
      <c r="P24" s="108">
        <v>15100</v>
      </c>
      <c r="Q24" s="108">
        <v>19366.022366384168</v>
      </c>
      <c r="R24" s="108">
        <f>SUM(sales_forecast_tbl[[#This Row],[Feb-25]:[Jan-26]])</f>
        <v>116704.02236638416</v>
      </c>
      <c r="S24" s="120">
        <f>sales_forecast_tbl[[#This Row],[Total]]/sales_forecast_tbl[[#Totals],[Total]]</f>
        <v>5.7059645230653567E-3</v>
      </c>
      <c r="Y24" s="57">
        <v>0.98605001865499831</v>
      </c>
    </row>
    <row r="25" spans="2:25" ht="15" customHeight="1" x14ac:dyDescent="0.25">
      <c r="B25" s="57" t="s">
        <v>210</v>
      </c>
      <c r="C25" s="65" t="s">
        <v>112</v>
      </c>
      <c r="D25" s="65" t="b" cm="1">
        <f t="array" ref="D25">_xlfn.XLOOKUP(sales_forecast_tbl[[#This Row],[Customer Name]],_xlfn.ANCHORARRAY(Assumptions!$C$34),Assumptions!$D$34:$D$107)</f>
        <v>1</v>
      </c>
      <c r="E25" s="108">
        <v>19823</v>
      </c>
      <c r="F25" s="108">
        <v>20971</v>
      </c>
      <c r="G25" s="108">
        <v>4667</v>
      </c>
      <c r="H25" s="109">
        <v>13807</v>
      </c>
      <c r="I25" s="109">
        <v>8308</v>
      </c>
      <c r="J25" s="108">
        <v>4437</v>
      </c>
      <c r="K25" s="108">
        <v>4409</v>
      </c>
      <c r="L25" s="108">
        <v>3341</v>
      </c>
      <c r="M25" s="108">
        <v>4461</v>
      </c>
      <c r="N25" s="108">
        <v>5513</v>
      </c>
      <c r="O25" s="108">
        <v>9328</v>
      </c>
      <c r="P25" s="108">
        <v>15389</v>
      </c>
      <c r="Q25" s="108">
        <v>19273.035854798305</v>
      </c>
      <c r="R25" s="108">
        <f>SUM(sales_forecast_tbl[[#This Row],[Feb-25]:[Jan-26]])</f>
        <v>113904.03585479831</v>
      </c>
      <c r="S25" s="120">
        <f>sales_forecast_tbl[[#This Row],[Total]]/sales_forecast_tbl[[#Totals],[Total]]</f>
        <v>5.5690658680214635E-3</v>
      </c>
      <c r="Y25" s="57">
        <v>0.97225626064663806</v>
      </c>
    </row>
    <row r="26" spans="2:25" ht="15" customHeight="1" x14ac:dyDescent="0.25">
      <c r="B26" s="57" t="s">
        <v>211</v>
      </c>
      <c r="C26" s="65" t="s">
        <v>112</v>
      </c>
      <c r="D26" s="65" t="b" cm="1">
        <f t="array" ref="D26">_xlfn.XLOOKUP(sales_forecast_tbl[[#This Row],[Customer Name]],_xlfn.ANCHORARRAY(Assumptions!$C$34),Assumptions!$D$34:$D$107)</f>
        <v>1</v>
      </c>
      <c r="E26" s="108">
        <v>34393</v>
      </c>
      <c r="F26" s="108">
        <v>36093</v>
      </c>
      <c r="G26" s="108">
        <v>8014</v>
      </c>
      <c r="H26" s="109">
        <v>23935</v>
      </c>
      <c r="I26" s="109">
        <v>13052</v>
      </c>
      <c r="J26" s="108">
        <v>7636</v>
      </c>
      <c r="K26" s="108">
        <v>7561</v>
      </c>
      <c r="L26" s="108">
        <v>5591</v>
      </c>
      <c r="M26" s="108">
        <v>7864</v>
      </c>
      <c r="N26" s="108">
        <v>10097</v>
      </c>
      <c r="O26" s="108">
        <v>14997</v>
      </c>
      <c r="P26" s="108">
        <v>25116</v>
      </c>
      <c r="Q26" s="108">
        <v>40201.271014151971</v>
      </c>
      <c r="R26" s="108">
        <f>SUM(sales_forecast_tbl[[#This Row],[Feb-25]:[Jan-26]])</f>
        <v>200157.27101415198</v>
      </c>
      <c r="S26" s="120">
        <f>sales_forecast_tbl[[#This Row],[Total]]/sales_forecast_tbl[[#Totals],[Total]]</f>
        <v>9.7862118569899507E-3</v>
      </c>
      <c r="Y26" s="57">
        <v>1.1688794526255917</v>
      </c>
    </row>
    <row r="27" spans="2:25" ht="15" customHeight="1" x14ac:dyDescent="0.25">
      <c r="B27" s="57" t="s">
        <v>212</v>
      </c>
      <c r="C27" s="65" t="s">
        <v>112</v>
      </c>
      <c r="D27" s="65" t="b" cm="1">
        <f t="array" ref="D27">_xlfn.XLOOKUP(sales_forecast_tbl[[#This Row],[Customer Name]],_xlfn.ANCHORARRAY(Assumptions!$C$34),Assumptions!$D$34:$D$107)</f>
        <v>1</v>
      </c>
      <c r="E27" s="108">
        <v>32515</v>
      </c>
      <c r="F27" s="108">
        <v>35471</v>
      </c>
      <c r="G27" s="108">
        <v>7747</v>
      </c>
      <c r="H27" s="109">
        <v>22387</v>
      </c>
      <c r="I27" s="109">
        <v>12916</v>
      </c>
      <c r="J27" s="108">
        <v>7414</v>
      </c>
      <c r="K27" s="108">
        <v>7847</v>
      </c>
      <c r="L27" s="108">
        <v>5470</v>
      </c>
      <c r="M27" s="108">
        <v>7737</v>
      </c>
      <c r="N27" s="108">
        <v>9162</v>
      </c>
      <c r="O27" s="108">
        <v>14843</v>
      </c>
      <c r="P27" s="108">
        <v>24390</v>
      </c>
      <c r="Q27" s="108">
        <v>29285.713930597412</v>
      </c>
      <c r="R27" s="108">
        <f>SUM(sales_forecast_tbl[[#This Row],[Feb-25]:[Jan-26]])</f>
        <v>184669.71393059741</v>
      </c>
      <c r="S27" s="120">
        <f>sales_forecast_tbl[[#This Row],[Total]]/sales_forecast_tbl[[#Totals],[Total]]</f>
        <v>9.0289847325445236E-3</v>
      </c>
      <c r="Y27" s="57">
        <v>0.90068319023827192</v>
      </c>
    </row>
    <row r="28" spans="2:25" ht="15" customHeight="1" x14ac:dyDescent="0.25">
      <c r="B28" s="57" t="s">
        <v>213</v>
      </c>
      <c r="C28" s="65" t="s">
        <v>112</v>
      </c>
      <c r="D28" s="65" t="b" cm="1">
        <f t="array" ref="D28">_xlfn.XLOOKUP(sales_forecast_tbl[[#This Row],[Customer Name]],_xlfn.ANCHORARRAY(Assumptions!$C$34),Assumptions!$D$34:$D$107)</f>
        <v>1</v>
      </c>
      <c r="E28" s="108">
        <v>31304</v>
      </c>
      <c r="F28" s="108">
        <v>35842</v>
      </c>
      <c r="G28" s="108">
        <v>7511</v>
      </c>
      <c r="H28" s="109">
        <v>21952</v>
      </c>
      <c r="I28" s="109">
        <v>13701</v>
      </c>
      <c r="J28" s="108">
        <v>7876</v>
      </c>
      <c r="K28" s="108">
        <v>7343</v>
      </c>
      <c r="L28" s="108">
        <v>5518</v>
      </c>
      <c r="M28" s="108">
        <v>7524</v>
      </c>
      <c r="N28" s="108">
        <v>9482</v>
      </c>
      <c r="O28" s="108">
        <v>15141</v>
      </c>
      <c r="P28" s="108">
        <v>25031</v>
      </c>
      <c r="Q28" s="108">
        <v>28950.503737196937</v>
      </c>
      <c r="R28" s="108">
        <f>SUM(sales_forecast_tbl[[#This Row],[Feb-25]:[Jan-26]])</f>
        <v>185871.50373719694</v>
      </c>
      <c r="S28" s="120">
        <f>sales_forecast_tbl[[#This Row],[Total]]/sales_forecast_tbl[[#Totals],[Total]]</f>
        <v>9.0877433756623265E-3</v>
      </c>
      <c r="Y28" s="57">
        <v>0.92481803402750251</v>
      </c>
    </row>
    <row r="29" spans="2:25" ht="15" customHeight="1" x14ac:dyDescent="0.25">
      <c r="B29" s="57" t="s">
        <v>214</v>
      </c>
      <c r="C29" s="65" t="s">
        <v>112</v>
      </c>
      <c r="D29" s="65" t="b" cm="1">
        <f t="array" ref="D29">_xlfn.XLOOKUP(sales_forecast_tbl[[#This Row],[Customer Name]],_xlfn.ANCHORARRAY(Assumptions!$C$34),Assumptions!$D$34:$D$107)</f>
        <v>1</v>
      </c>
      <c r="E29" s="108">
        <v>29727</v>
      </c>
      <c r="F29" s="108">
        <v>32003</v>
      </c>
      <c r="G29" s="108">
        <v>7152</v>
      </c>
      <c r="H29" s="109">
        <v>21289</v>
      </c>
      <c r="I29" s="109">
        <v>12330</v>
      </c>
      <c r="J29" s="108">
        <v>6677</v>
      </c>
      <c r="K29" s="108">
        <v>6665</v>
      </c>
      <c r="L29" s="108">
        <v>5089</v>
      </c>
      <c r="M29" s="108">
        <v>7042</v>
      </c>
      <c r="N29" s="108">
        <v>8992</v>
      </c>
      <c r="O29" s="108">
        <v>14420</v>
      </c>
      <c r="P29" s="108">
        <v>23434</v>
      </c>
      <c r="Q29" s="108">
        <v>30780.767086004671</v>
      </c>
      <c r="R29" s="108">
        <f>SUM(sales_forecast_tbl[[#This Row],[Feb-25]:[Jan-26]])</f>
        <v>175873.76708600466</v>
      </c>
      <c r="S29" s="120">
        <f>sales_forecast_tbl[[#This Row],[Total]]/sales_forecast_tbl[[#Totals],[Total]]</f>
        <v>8.5989279133849485E-3</v>
      </c>
      <c r="Y29" s="57">
        <v>1.0354481476773529</v>
      </c>
    </row>
    <row r="30" spans="2:25" ht="15" customHeight="1" x14ac:dyDescent="0.25">
      <c r="B30" s="57" t="s">
        <v>215</v>
      </c>
      <c r="C30" s="65" t="s">
        <v>112</v>
      </c>
      <c r="D30" s="65" t="b" cm="1">
        <f t="array" ref="D30">_xlfn.XLOOKUP(sales_forecast_tbl[[#This Row],[Customer Name]],_xlfn.ANCHORARRAY(Assumptions!$C$34),Assumptions!$D$34:$D$107)</f>
        <v>1</v>
      </c>
      <c r="E30" s="108">
        <v>33562</v>
      </c>
      <c r="F30" s="108">
        <v>37705</v>
      </c>
      <c r="G30" s="108">
        <v>7795</v>
      </c>
      <c r="H30" s="109">
        <v>22591</v>
      </c>
      <c r="I30" s="109">
        <v>13368</v>
      </c>
      <c r="J30" s="108">
        <v>7635</v>
      </c>
      <c r="K30" s="108">
        <v>8117</v>
      </c>
      <c r="L30" s="108">
        <v>5670</v>
      </c>
      <c r="M30" s="108">
        <v>7695</v>
      </c>
      <c r="N30" s="108">
        <v>9645</v>
      </c>
      <c r="O30" s="108">
        <v>15163</v>
      </c>
      <c r="P30" s="108">
        <v>26409</v>
      </c>
      <c r="Q30" s="108">
        <v>34314.631064558962</v>
      </c>
      <c r="R30" s="108">
        <f>SUM(sales_forecast_tbl[[#This Row],[Feb-25]:[Jan-26]])</f>
        <v>196107.63106455895</v>
      </c>
      <c r="S30" s="120">
        <f>sales_forecast_tbl[[#This Row],[Total]]/sales_forecast_tbl[[#Totals],[Total]]</f>
        <v>9.5882143808530707E-3</v>
      </c>
      <c r="Y30" s="57">
        <v>1.0224250957797201</v>
      </c>
    </row>
    <row r="31" spans="2:25" ht="15" customHeight="1" x14ac:dyDescent="0.25">
      <c r="B31" s="57" t="s">
        <v>216</v>
      </c>
      <c r="C31" s="65" t="s">
        <v>112</v>
      </c>
      <c r="D31" s="65" t="b" cm="1">
        <f t="array" ref="D31">_xlfn.XLOOKUP(sales_forecast_tbl[[#This Row],[Customer Name]],_xlfn.ANCHORARRAY(Assumptions!$C$34),Assumptions!$D$34:$D$107)</f>
        <v>1</v>
      </c>
      <c r="E31" s="108">
        <v>54329</v>
      </c>
      <c r="F31" s="108">
        <v>56698</v>
      </c>
      <c r="G31" s="108">
        <v>12799</v>
      </c>
      <c r="H31" s="109">
        <v>37170</v>
      </c>
      <c r="I31" s="109">
        <v>22057</v>
      </c>
      <c r="J31" s="108">
        <v>12480</v>
      </c>
      <c r="K31" s="108">
        <v>12664</v>
      </c>
      <c r="L31" s="108">
        <v>9272</v>
      </c>
      <c r="M31" s="108">
        <v>12638</v>
      </c>
      <c r="N31" s="108">
        <v>16020</v>
      </c>
      <c r="O31" s="108">
        <v>23948</v>
      </c>
      <c r="P31" s="108">
        <v>39587</v>
      </c>
      <c r="Q31" s="108">
        <v>57841.165409274217</v>
      </c>
      <c r="R31" s="108">
        <f>SUM(sales_forecast_tbl[[#This Row],[Feb-25]:[Jan-26]])</f>
        <v>313174.16540927422</v>
      </c>
      <c r="S31" s="120">
        <f>sales_forecast_tbl[[#This Row],[Total]]/sales_forecast_tbl[[#Totals],[Total]]</f>
        <v>1.5311903061540431E-2</v>
      </c>
      <c r="Y31" s="57">
        <v>1.0646462369871379</v>
      </c>
    </row>
    <row r="32" spans="2:25" ht="15" customHeight="1" x14ac:dyDescent="0.25">
      <c r="B32" s="57" t="s">
        <v>217</v>
      </c>
      <c r="C32" s="65" t="s">
        <v>112</v>
      </c>
      <c r="D32" s="65" t="b" cm="1">
        <f t="array" ref="D32">_xlfn.XLOOKUP(sales_forecast_tbl[[#This Row],[Customer Name]],_xlfn.ANCHORARRAY(Assumptions!$C$34),Assumptions!$D$34:$D$107)</f>
        <v>1</v>
      </c>
      <c r="E32" s="108">
        <v>48035</v>
      </c>
      <c r="F32" s="108">
        <v>57841</v>
      </c>
      <c r="G32" s="108">
        <v>11933</v>
      </c>
      <c r="H32" s="109">
        <v>35858</v>
      </c>
      <c r="I32" s="109">
        <v>20013</v>
      </c>
      <c r="J32" s="108">
        <v>10902</v>
      </c>
      <c r="K32" s="108">
        <v>11453</v>
      </c>
      <c r="L32" s="108">
        <v>8558</v>
      </c>
      <c r="M32" s="108">
        <v>11603</v>
      </c>
      <c r="N32" s="108">
        <v>14606</v>
      </c>
      <c r="O32" s="108">
        <v>24269</v>
      </c>
      <c r="P32" s="108">
        <v>35499</v>
      </c>
      <c r="Q32" s="108">
        <v>54409.730613843167</v>
      </c>
      <c r="R32" s="108">
        <f>SUM(sales_forecast_tbl[[#This Row],[Feb-25]:[Jan-26]])</f>
        <v>296944.73061384319</v>
      </c>
      <c r="S32" s="120">
        <f>sales_forecast_tbl[[#This Row],[Total]]/sales_forecast_tbl[[#Totals],[Total]]</f>
        <v>1.451840359773098E-2</v>
      </c>
      <c r="Y32" s="57">
        <v>1.1327101199925713</v>
      </c>
    </row>
    <row r="33" spans="2:25" ht="15" customHeight="1" x14ac:dyDescent="0.25">
      <c r="B33" s="57" t="s">
        <v>218</v>
      </c>
      <c r="C33" s="65" t="s">
        <v>112</v>
      </c>
      <c r="D33" s="65" t="b" cm="1">
        <f t="array" ref="D33">_xlfn.XLOOKUP(sales_forecast_tbl[[#This Row],[Customer Name]],_xlfn.ANCHORARRAY(Assumptions!$C$34),Assumptions!$D$34:$D$107)</f>
        <v>1</v>
      </c>
      <c r="E33" s="108">
        <v>48488</v>
      </c>
      <c r="F33" s="108">
        <v>51372</v>
      </c>
      <c r="G33" s="108">
        <v>11036</v>
      </c>
      <c r="H33" s="109">
        <v>35161</v>
      </c>
      <c r="I33" s="109">
        <v>19848</v>
      </c>
      <c r="J33" s="108">
        <v>10790</v>
      </c>
      <c r="K33" s="108">
        <v>10820</v>
      </c>
      <c r="L33" s="108">
        <v>8246</v>
      </c>
      <c r="M33" s="108">
        <v>11581</v>
      </c>
      <c r="N33" s="108">
        <v>15055</v>
      </c>
      <c r="O33" s="108">
        <v>22367</v>
      </c>
      <c r="P33" s="108">
        <v>36173</v>
      </c>
      <c r="Q33" s="108">
        <v>50858.095647832975</v>
      </c>
      <c r="R33" s="108">
        <f>SUM(sales_forecast_tbl[[#This Row],[Feb-25]:[Jan-26]])</f>
        <v>283307.09564783296</v>
      </c>
      <c r="S33" s="120">
        <f>sales_forecast_tbl[[#This Row],[Total]]/sales_forecast_tbl[[#Totals],[Total]]</f>
        <v>1.3851623998221783E-2</v>
      </c>
      <c r="Y33" s="57">
        <v>1.0488800455335954</v>
      </c>
    </row>
    <row r="34" spans="2:25" ht="15" customHeight="1" x14ac:dyDescent="0.25">
      <c r="B34" s="57" t="s">
        <v>219</v>
      </c>
      <c r="C34" s="65" t="s">
        <v>112</v>
      </c>
      <c r="D34" s="65" t="b" cm="1">
        <f t="array" ref="D34">_xlfn.XLOOKUP(sales_forecast_tbl[[#This Row],[Customer Name]],_xlfn.ANCHORARRAY(Assumptions!$C$34),Assumptions!$D$34:$D$107)</f>
        <v>1</v>
      </c>
      <c r="E34" s="108">
        <v>48278</v>
      </c>
      <c r="F34" s="108">
        <v>57622</v>
      </c>
      <c r="G34" s="108">
        <v>12272</v>
      </c>
      <c r="H34" s="109">
        <v>34493</v>
      </c>
      <c r="I34" s="109">
        <v>19797</v>
      </c>
      <c r="J34" s="108">
        <v>11950</v>
      </c>
      <c r="K34" s="108">
        <v>12118</v>
      </c>
      <c r="L34" s="108">
        <v>8745</v>
      </c>
      <c r="M34" s="108">
        <v>11666</v>
      </c>
      <c r="N34" s="108">
        <v>15454</v>
      </c>
      <c r="O34" s="108">
        <v>24384</v>
      </c>
      <c r="P34" s="108">
        <v>38255</v>
      </c>
      <c r="Q34" s="108">
        <v>39875.061832465653</v>
      </c>
      <c r="R34" s="108">
        <f>SUM(sales_forecast_tbl[[#This Row],[Feb-25]:[Jan-26]])</f>
        <v>286631.06183246564</v>
      </c>
      <c r="S34" s="120">
        <f>sales_forecast_tbl[[#This Row],[Total]]/sales_forecast_tbl[[#Totals],[Total]]</f>
        <v>1.4014141388289447E-2</v>
      </c>
      <c r="Y34" s="57">
        <v>0.82594684602646451</v>
      </c>
    </row>
    <row r="35" spans="2:25" ht="15" customHeight="1" x14ac:dyDescent="0.25">
      <c r="B35" s="57" t="s">
        <v>220</v>
      </c>
      <c r="C35" s="65" t="s">
        <v>112</v>
      </c>
      <c r="D35" s="65" t="b" cm="1">
        <f t="array" ref="D35">_xlfn.XLOOKUP(sales_forecast_tbl[[#This Row],[Customer Name]],_xlfn.ANCHORARRAY(Assumptions!$C$34),Assumptions!$D$34:$D$107)</f>
        <v>1</v>
      </c>
      <c r="E35" s="108">
        <v>54092</v>
      </c>
      <c r="F35" s="108">
        <v>59632</v>
      </c>
      <c r="G35" s="108">
        <v>12109</v>
      </c>
      <c r="H35" s="109">
        <v>37868</v>
      </c>
      <c r="I35" s="109">
        <v>20830</v>
      </c>
      <c r="J35" s="108">
        <v>11935</v>
      </c>
      <c r="K35" s="108">
        <v>12499</v>
      </c>
      <c r="L35" s="108">
        <v>9532</v>
      </c>
      <c r="M35" s="108">
        <v>12439</v>
      </c>
      <c r="N35" s="108">
        <v>14562</v>
      </c>
      <c r="O35" s="108">
        <v>24843</v>
      </c>
      <c r="P35" s="108">
        <v>39816</v>
      </c>
      <c r="Q35" s="108">
        <v>63131.379589213378</v>
      </c>
      <c r="R35" s="108">
        <f>SUM(sales_forecast_tbl[[#This Row],[Feb-25]:[Jan-26]])</f>
        <v>319196.37958921341</v>
      </c>
      <c r="S35" s="120">
        <f>sales_forecast_tbl[[#This Row],[Total]]/sales_forecast_tbl[[#Totals],[Total]]</f>
        <v>1.5606344844816378E-2</v>
      </c>
      <c r="Y35" s="57">
        <v>1.1671112103307952</v>
      </c>
    </row>
    <row r="36" spans="2:25" ht="15" customHeight="1" x14ac:dyDescent="0.25">
      <c r="B36" s="57" t="s">
        <v>221</v>
      </c>
      <c r="C36" s="65" t="s">
        <v>112</v>
      </c>
      <c r="D36" s="65" t="b" cm="1">
        <f t="array" ref="D36">_xlfn.XLOOKUP(sales_forecast_tbl[[#This Row],[Customer Name]],_xlfn.ANCHORARRAY(Assumptions!$C$34),Assumptions!$D$34:$D$107)</f>
        <v>1</v>
      </c>
      <c r="E36" s="108">
        <v>73689</v>
      </c>
      <c r="F36" s="108">
        <v>83838</v>
      </c>
      <c r="G36" s="108">
        <v>17513</v>
      </c>
      <c r="H36" s="109">
        <v>54066</v>
      </c>
      <c r="I36" s="109">
        <v>31435</v>
      </c>
      <c r="J36" s="108">
        <v>17407</v>
      </c>
      <c r="K36" s="108">
        <v>18242</v>
      </c>
      <c r="L36" s="108">
        <v>12568</v>
      </c>
      <c r="M36" s="108">
        <v>17932</v>
      </c>
      <c r="N36" s="108">
        <v>22451</v>
      </c>
      <c r="O36" s="108">
        <v>35683</v>
      </c>
      <c r="P36" s="108">
        <v>53502</v>
      </c>
      <c r="Q36" s="108">
        <v>88210.83836610736</v>
      </c>
      <c r="R36" s="108">
        <f>SUM(sales_forecast_tbl[[#This Row],[Feb-25]:[Jan-26]])</f>
        <v>452847.83836610737</v>
      </c>
      <c r="S36" s="120">
        <f>sales_forecast_tbl[[#This Row],[Total]]/sales_forecast_tbl[[#Totals],[Total]]</f>
        <v>2.2140913806310492E-2</v>
      </c>
      <c r="Y36" s="57">
        <v>1.1970692826080875</v>
      </c>
    </row>
    <row r="37" spans="2:25" ht="15" customHeight="1" x14ac:dyDescent="0.25">
      <c r="B37" s="57" t="s">
        <v>222</v>
      </c>
      <c r="C37" s="65" t="s">
        <v>112</v>
      </c>
      <c r="D37" s="65" t="b" cm="1">
        <f t="array" ref="D37">_xlfn.XLOOKUP(sales_forecast_tbl[[#This Row],[Customer Name]],_xlfn.ANCHORARRAY(Assumptions!$C$34),Assumptions!$D$34:$D$107)</f>
        <v>1</v>
      </c>
      <c r="E37" s="108">
        <v>74433</v>
      </c>
      <c r="F37" s="108">
        <v>84541</v>
      </c>
      <c r="G37" s="108">
        <v>16328</v>
      </c>
      <c r="H37" s="109">
        <v>49915</v>
      </c>
      <c r="I37" s="109">
        <v>28875</v>
      </c>
      <c r="J37" s="108">
        <v>17743</v>
      </c>
      <c r="K37" s="108">
        <v>17893</v>
      </c>
      <c r="L37" s="108">
        <v>12481</v>
      </c>
      <c r="M37" s="108">
        <v>16071</v>
      </c>
      <c r="N37" s="108">
        <v>22037</v>
      </c>
      <c r="O37" s="108">
        <v>34376</v>
      </c>
      <c r="P37" s="108">
        <v>56686</v>
      </c>
      <c r="Q37" s="108">
        <v>75318.492108245075</v>
      </c>
      <c r="R37" s="108">
        <f>SUM(sales_forecast_tbl[[#This Row],[Feb-25]:[Jan-26]])</f>
        <v>432264.49210824509</v>
      </c>
      <c r="S37" s="120">
        <f>sales_forecast_tbl[[#This Row],[Total]]/sales_forecast_tbl[[#Totals],[Total]]</f>
        <v>2.1134540237243499E-2</v>
      </c>
      <c r="Y37" s="57">
        <v>1.0118964989755226</v>
      </c>
    </row>
    <row r="38" spans="2:25" ht="15" customHeight="1" x14ac:dyDescent="0.25">
      <c r="B38" s="57" t="s">
        <v>223</v>
      </c>
      <c r="C38" s="65" t="s">
        <v>112</v>
      </c>
      <c r="D38" s="65" t="b" cm="1">
        <f t="array" ref="D38">_xlfn.XLOOKUP(sales_forecast_tbl[[#This Row],[Customer Name]],_xlfn.ANCHORARRAY(Assumptions!$C$34),Assumptions!$D$34:$D$107)</f>
        <v>1</v>
      </c>
      <c r="E38" s="108">
        <v>70224</v>
      </c>
      <c r="F38" s="108">
        <v>82838</v>
      </c>
      <c r="G38" s="108">
        <v>17668</v>
      </c>
      <c r="H38" s="109">
        <v>50603</v>
      </c>
      <c r="I38" s="109">
        <v>29276</v>
      </c>
      <c r="J38" s="108">
        <v>17998</v>
      </c>
      <c r="K38" s="108">
        <v>17031</v>
      </c>
      <c r="L38" s="108">
        <v>12386</v>
      </c>
      <c r="M38" s="108">
        <v>17535</v>
      </c>
      <c r="N38" s="108">
        <v>21382</v>
      </c>
      <c r="O38" s="108">
        <v>34877</v>
      </c>
      <c r="P38" s="108">
        <v>57182</v>
      </c>
      <c r="Q38" s="108">
        <v>64382.175918154877</v>
      </c>
      <c r="R38" s="108">
        <f>SUM(sales_forecast_tbl[[#This Row],[Feb-25]:[Jan-26]])</f>
        <v>423158.17591815488</v>
      </c>
      <c r="S38" s="120">
        <f>sales_forecast_tbl[[#This Row],[Total]]/sales_forecast_tbl[[#Totals],[Total]]</f>
        <v>2.0689308649994992E-2</v>
      </c>
      <c r="Y38" s="57">
        <v>0.91681157322503526</v>
      </c>
    </row>
    <row r="39" spans="2:25" ht="15" customHeight="1" x14ac:dyDescent="0.25">
      <c r="B39" s="57" t="s">
        <v>224</v>
      </c>
      <c r="C39" s="65" t="s">
        <v>112</v>
      </c>
      <c r="D39" s="65" t="b" cm="1">
        <f t="array" ref="D39">_xlfn.XLOOKUP(sales_forecast_tbl[[#This Row],[Customer Name]],_xlfn.ANCHORARRAY(Assumptions!$C$34),Assumptions!$D$34:$D$107)</f>
        <v>1</v>
      </c>
      <c r="E39" s="108">
        <v>73351</v>
      </c>
      <c r="F39" s="108">
        <v>79986</v>
      </c>
      <c r="G39" s="108">
        <v>16107</v>
      </c>
      <c r="H39" s="109">
        <v>53832</v>
      </c>
      <c r="I39" s="109">
        <v>30897</v>
      </c>
      <c r="J39" s="108">
        <v>16468</v>
      </c>
      <c r="K39" s="108">
        <v>16528</v>
      </c>
      <c r="L39" s="108">
        <v>13003</v>
      </c>
      <c r="M39" s="108">
        <v>16636</v>
      </c>
      <c r="N39" s="108">
        <v>22485</v>
      </c>
      <c r="O39" s="108">
        <v>34220</v>
      </c>
      <c r="P39" s="108">
        <v>58437</v>
      </c>
      <c r="Q39" s="108">
        <v>61599.434944782246</v>
      </c>
      <c r="R39" s="108">
        <f>SUM(sales_forecast_tbl[[#This Row],[Feb-25]:[Jan-26]])</f>
        <v>420198.43494478223</v>
      </c>
      <c r="S39" s="120">
        <f>sales_forecast_tbl[[#This Row],[Total]]/sales_forecast_tbl[[#Totals],[Total]]</f>
        <v>2.0544599181982759E-2</v>
      </c>
      <c r="Y39" s="57">
        <v>0.83978998166053964</v>
      </c>
    </row>
    <row r="40" spans="2:25" ht="15" customHeight="1" x14ac:dyDescent="0.25">
      <c r="B40" s="57" t="s">
        <v>225</v>
      </c>
      <c r="C40" s="65" t="s">
        <v>112</v>
      </c>
      <c r="D40" s="65" t="b" cm="1">
        <f t="array" ref="D40">_xlfn.XLOOKUP(sales_forecast_tbl[[#This Row],[Customer Name]],_xlfn.ANCHORARRAY(Assumptions!$C$34),Assumptions!$D$34:$D$107)</f>
        <v>1</v>
      </c>
      <c r="E40" s="108">
        <v>69313</v>
      </c>
      <c r="F40" s="108">
        <v>79049</v>
      </c>
      <c r="G40" s="108">
        <v>17229</v>
      </c>
      <c r="H40" s="109">
        <v>51059</v>
      </c>
      <c r="I40" s="109">
        <v>28394</v>
      </c>
      <c r="J40" s="108">
        <v>16941</v>
      </c>
      <c r="K40" s="108">
        <v>16989</v>
      </c>
      <c r="L40" s="108">
        <v>12355</v>
      </c>
      <c r="M40" s="108">
        <v>17333</v>
      </c>
      <c r="N40" s="108">
        <v>19708</v>
      </c>
      <c r="O40" s="108">
        <v>34812</v>
      </c>
      <c r="P40" s="108">
        <v>50859</v>
      </c>
      <c r="Q40" s="108">
        <v>70359.979391841727</v>
      </c>
      <c r="R40" s="108">
        <f>SUM(sales_forecast_tbl[[#This Row],[Feb-25]:[Jan-26]])</f>
        <v>415087.97939184174</v>
      </c>
      <c r="S40" s="120">
        <f>sales_forecast_tbl[[#This Row],[Total]]/sales_forecast_tbl[[#Totals],[Total]]</f>
        <v>2.0294735659796396E-2</v>
      </c>
      <c r="Y40" s="57">
        <v>1.0151050941647559</v>
      </c>
    </row>
    <row r="41" spans="2:25" ht="15" customHeight="1" x14ac:dyDescent="0.25">
      <c r="B41" s="57" t="s">
        <v>226</v>
      </c>
      <c r="C41" s="65" t="s">
        <v>112</v>
      </c>
      <c r="D41" s="65" t="b" cm="1">
        <f t="array" ref="D41">_xlfn.XLOOKUP(sales_forecast_tbl[[#This Row],[Customer Name]],_xlfn.ANCHORARRAY(Assumptions!$C$34),Assumptions!$D$34:$D$107)</f>
        <v>1</v>
      </c>
      <c r="E41" s="108">
        <v>106155</v>
      </c>
      <c r="F41" s="108">
        <v>137451</v>
      </c>
      <c r="G41" s="108">
        <v>25490</v>
      </c>
      <c r="H41" s="109">
        <v>111794</v>
      </c>
      <c r="I41" s="109">
        <v>56028</v>
      </c>
      <c r="J41" s="108">
        <v>44028</v>
      </c>
      <c r="K41" s="108">
        <v>31568</v>
      </c>
      <c r="L41" s="108">
        <v>33786</v>
      </c>
      <c r="M41" s="108">
        <v>38105</v>
      </c>
      <c r="N41" s="108">
        <v>53348</v>
      </c>
      <c r="O41" s="108">
        <v>63119</v>
      </c>
      <c r="P41" s="108">
        <v>132930</v>
      </c>
      <c r="Q41" s="108">
        <v>124942.58016177146</v>
      </c>
      <c r="R41" s="108">
        <f>SUM(sales_forecast_tbl[[#This Row],[Feb-25]:[Jan-26]])</f>
        <v>852589.5801617715</v>
      </c>
      <c r="S41" s="120">
        <f>sales_forecast_tbl[[#This Row],[Total]]/sales_forecast_tbl[[#Totals],[Total]]</f>
        <v>4.1685331820572644E-2</v>
      </c>
      <c r="Y41" s="57">
        <v>1.176982527076176</v>
      </c>
    </row>
    <row r="42" spans="2:25" ht="15" customHeight="1" x14ac:dyDescent="0.25">
      <c r="B42" s="57" t="s">
        <v>227</v>
      </c>
      <c r="C42" s="65" t="s">
        <v>112</v>
      </c>
      <c r="D42" s="65" t="b" cm="1">
        <f t="array" ref="D42">_xlfn.XLOOKUP(sales_forecast_tbl[[#This Row],[Customer Name]],_xlfn.ANCHORARRAY(Assumptions!$C$34),Assumptions!$D$34:$D$107)</f>
        <v>1</v>
      </c>
      <c r="E42" s="108">
        <v>158781</v>
      </c>
      <c r="F42" s="108">
        <v>177461</v>
      </c>
      <c r="G42" s="108">
        <v>37360</v>
      </c>
      <c r="H42" s="109">
        <v>112080</v>
      </c>
      <c r="I42" s="109">
        <v>65380</v>
      </c>
      <c r="J42" s="108">
        <v>37360</v>
      </c>
      <c r="K42" s="108">
        <v>37360</v>
      </c>
      <c r="L42" s="108">
        <v>28020</v>
      </c>
      <c r="M42" s="108">
        <v>37360</v>
      </c>
      <c r="N42" s="108">
        <v>46700</v>
      </c>
      <c r="O42" s="108">
        <v>74720</v>
      </c>
      <c r="P42" s="108">
        <v>121421</v>
      </c>
      <c r="Q42" s="108">
        <v>143555.0273185297</v>
      </c>
      <c r="R42" s="108">
        <f>SUM(sales_forecast_tbl[[#This Row],[Feb-25]:[Jan-26]])</f>
        <v>918777.02731852967</v>
      </c>
      <c r="S42" s="120">
        <f>sales_forecast_tbl[[#This Row],[Total]]/sales_forecast_tbl[[#Totals],[Total]]</f>
        <v>4.4921409015607768E-2</v>
      </c>
      <c r="Y42" s="57">
        <v>0.90410708660689698</v>
      </c>
    </row>
    <row r="43" spans="2:25" ht="15" customHeight="1" x14ac:dyDescent="0.25">
      <c r="B43" s="57" t="s">
        <v>155</v>
      </c>
      <c r="C43" s="65" t="s">
        <v>112</v>
      </c>
      <c r="D43" s="65" t="b" cm="1">
        <f t="array" ref="D43">_xlfn.XLOOKUP(sales_forecast_tbl[[#This Row],[Customer Name]],_xlfn.ANCHORARRAY(Assumptions!$C$34),Assumptions!$D$34:$D$107)</f>
        <v>1</v>
      </c>
      <c r="E43" s="108">
        <v>1000000</v>
      </c>
      <c r="F43" s="108">
        <v>2000000</v>
      </c>
      <c r="G43" s="108">
        <v>50000</v>
      </c>
      <c r="H43" s="109">
        <v>50000</v>
      </c>
      <c r="I43" s="109">
        <v>50000</v>
      </c>
      <c r="J43" s="108">
        <v>50000</v>
      </c>
      <c r="K43" s="108">
        <v>50000</v>
      </c>
      <c r="L43" s="108">
        <v>100000</v>
      </c>
      <c r="M43" s="108">
        <v>500000</v>
      </c>
      <c r="N43" s="108">
        <v>500000</v>
      </c>
      <c r="O43" s="108">
        <v>500000</v>
      </c>
      <c r="P43" s="108">
        <v>500000</v>
      </c>
      <c r="Q43" s="108">
        <v>1143214.2231529311</v>
      </c>
      <c r="R43" s="108">
        <f>SUM(sales_forecast_tbl[[#This Row],[Feb-25]:[Jan-26]])</f>
        <v>5493214.2231529308</v>
      </c>
      <c r="S43" s="120">
        <f>sales_forecast_tbl[[#This Row],[Total]]/sales_forecast_tbl[[#Totals],[Total]]</f>
        <v>0.26857759346551113</v>
      </c>
      <c r="Y43" s="57">
        <v>1.143214223152931</v>
      </c>
    </row>
    <row r="44" spans="2:25" ht="15" customHeight="1" x14ac:dyDescent="0.25">
      <c r="B44" s="57" t="s">
        <v>156</v>
      </c>
      <c r="C44" s="65" t="s">
        <v>113</v>
      </c>
      <c r="D44" s="65" t="b" cm="1">
        <f t="array" ref="D44">_xlfn.XLOOKUP(sales_forecast_tbl[[#This Row],[Customer Name]],_xlfn.ANCHORARRAY(Assumptions!$C$34),Assumptions!$D$34:$D$107)</f>
        <v>1</v>
      </c>
      <c r="E44" s="108">
        <v>1432.9696030218922</v>
      </c>
      <c r="F44" s="108">
        <v>1590.6158686075603</v>
      </c>
      <c r="G44" s="108">
        <v>332.90816184965217</v>
      </c>
      <c r="H44" s="109">
        <v>1139.5645161083705</v>
      </c>
      <c r="I44" s="109">
        <v>626.88225193024675</v>
      </c>
      <c r="J44" s="108">
        <v>374.42636788349301</v>
      </c>
      <c r="K44" s="108">
        <v>325.36969259142251</v>
      </c>
      <c r="L44" s="108">
        <v>250.81214272637988</v>
      </c>
      <c r="M44" s="108">
        <v>356.09384348162314</v>
      </c>
      <c r="N44" s="108">
        <v>454.18718861614747</v>
      </c>
      <c r="O44" s="108">
        <v>709.23954637826262</v>
      </c>
      <c r="P44" s="108">
        <v>1145.298951882517</v>
      </c>
      <c r="Q44" s="108">
        <v>1508.65606606139</v>
      </c>
      <c r="R44" s="108">
        <f>SUM(sales_forecast_tbl[[#This Row],[Feb-25]:[Jan-26]])</f>
        <v>8814.0545981170653</v>
      </c>
      <c r="S44" s="120">
        <f>sales_forecast_tbl[[#This Row],[Total]]/sales_forecast_tbl[[#Totals],[Total]]</f>
        <v>4.3094215453282899E-4</v>
      </c>
      <c r="Y44" s="57">
        <v>1.0528179124524957</v>
      </c>
    </row>
    <row r="45" spans="2:25" ht="15" customHeight="1" x14ac:dyDescent="0.25">
      <c r="B45" s="57" t="s">
        <v>157</v>
      </c>
      <c r="C45" s="65" t="s">
        <v>113</v>
      </c>
      <c r="D45" s="65" t="b" cm="1">
        <f t="array" ref="D45">_xlfn.XLOOKUP(sales_forecast_tbl[[#This Row],[Customer Name]],_xlfn.ANCHORARRAY(Assumptions!$C$34),Assumptions!$D$34:$D$107)</f>
        <v>1</v>
      </c>
      <c r="E45" s="108">
        <v>1407.6063364649451</v>
      </c>
      <c r="F45" s="108">
        <v>1575.2874840915129</v>
      </c>
      <c r="G45" s="108">
        <v>361.27450226497029</v>
      </c>
      <c r="H45" s="109">
        <v>1004.2241932754442</v>
      </c>
      <c r="I45" s="109">
        <v>552.3995302031451</v>
      </c>
      <c r="J45" s="108">
        <v>339.43656674080671</v>
      </c>
      <c r="K45" s="108">
        <v>336.35715835772453</v>
      </c>
      <c r="L45" s="108">
        <v>262.45893814592603</v>
      </c>
      <c r="M45" s="108">
        <v>361.82694227841029</v>
      </c>
      <c r="N45" s="108">
        <v>431.9279709857874</v>
      </c>
      <c r="O45" s="108">
        <v>672.98291884656828</v>
      </c>
      <c r="P45" s="108">
        <v>1183.7650151258417</v>
      </c>
      <c r="Q45" s="108">
        <v>1624.5882052328209</v>
      </c>
      <c r="R45" s="108">
        <f>SUM(sales_forecast_tbl[[#This Row],[Feb-25]:[Jan-26]])</f>
        <v>8706.5294255489607</v>
      </c>
      <c r="S45" s="120">
        <f>sales_forecast_tbl[[#This Row],[Total]]/sales_forecast_tbl[[#Totals],[Total]]</f>
        <v>4.2568496795459832E-4</v>
      </c>
      <c r="Y45" s="57">
        <v>1.1541495396452981</v>
      </c>
    </row>
    <row r="46" spans="2:25" ht="15" customHeight="1" x14ac:dyDescent="0.25">
      <c r="B46" s="57" t="s">
        <v>158</v>
      </c>
      <c r="C46" s="65" t="s">
        <v>113</v>
      </c>
      <c r="D46" s="65" t="b" cm="1">
        <f t="array" ref="D46">_xlfn.XLOOKUP(sales_forecast_tbl[[#This Row],[Customer Name]],_xlfn.ANCHORARRAY(Assumptions!$C$34),Assumptions!$D$34:$D$107)</f>
        <v>1</v>
      </c>
      <c r="E46" s="108">
        <v>1614.192085928699</v>
      </c>
      <c r="F46" s="108">
        <v>1659.9873369612992</v>
      </c>
      <c r="G46" s="108">
        <v>350.26204892081074</v>
      </c>
      <c r="H46" s="109">
        <v>1153.8383687659336</v>
      </c>
      <c r="I46" s="109">
        <v>645.92909623215542</v>
      </c>
      <c r="J46" s="108">
        <v>369.89347544030801</v>
      </c>
      <c r="K46" s="108">
        <v>345.21563137725724</v>
      </c>
      <c r="L46" s="108">
        <v>284.55601880855141</v>
      </c>
      <c r="M46" s="108">
        <v>375.59816962222624</v>
      </c>
      <c r="N46" s="108">
        <v>469.16039815594979</v>
      </c>
      <c r="O46" s="108">
        <v>732.33667693473785</v>
      </c>
      <c r="P46" s="108">
        <v>1277.4942168370046</v>
      </c>
      <c r="Q46" s="108">
        <v>1534.6183172601641</v>
      </c>
      <c r="R46" s="108">
        <f>SUM(sales_forecast_tbl[[#This Row],[Feb-25]:[Jan-26]])</f>
        <v>9198.8897553163988</v>
      </c>
      <c r="S46" s="120">
        <f>sales_forecast_tbl[[#This Row],[Total]]/sales_forecast_tbl[[#Totals],[Total]]</f>
        <v>4.497577506852387E-4</v>
      </c>
      <c r="Y46" s="57">
        <v>0.95070365580267757</v>
      </c>
    </row>
    <row r="47" spans="2:25" ht="15" customHeight="1" x14ac:dyDescent="0.25">
      <c r="B47" s="57" t="s">
        <v>159</v>
      </c>
      <c r="C47" s="65" t="s">
        <v>113</v>
      </c>
      <c r="D47" s="65" t="b" cm="1">
        <f t="array" ref="D47">_xlfn.XLOOKUP(sales_forecast_tbl[[#This Row],[Customer Name]],_xlfn.ANCHORARRAY(Assumptions!$C$34),Assumptions!$D$34:$D$107)</f>
        <v>1</v>
      </c>
      <c r="E47" s="108">
        <v>1632.3853301891431</v>
      </c>
      <c r="F47" s="108">
        <v>1673.4667164389632</v>
      </c>
      <c r="G47" s="108">
        <v>385.64344748919791</v>
      </c>
      <c r="H47" s="109">
        <v>1197.0489661044273</v>
      </c>
      <c r="I47" s="109">
        <v>702.90723155644184</v>
      </c>
      <c r="J47" s="108">
        <v>365.71456019425631</v>
      </c>
      <c r="K47" s="108">
        <v>349.9241953009618</v>
      </c>
      <c r="L47" s="108">
        <v>285.72694747474247</v>
      </c>
      <c r="M47" s="108">
        <v>382.89821450352065</v>
      </c>
      <c r="N47" s="108">
        <v>470.77188344410268</v>
      </c>
      <c r="O47" s="108">
        <v>686.40442431965005</v>
      </c>
      <c r="P47" s="108">
        <v>1240.1012369080916</v>
      </c>
      <c r="Q47" s="108">
        <v>1861.6961880212853</v>
      </c>
      <c r="R47" s="108">
        <f>SUM(sales_forecast_tbl[[#This Row],[Feb-25]:[Jan-26]])</f>
        <v>9602.3040117556411</v>
      </c>
      <c r="S47" s="120">
        <f>sales_forecast_tbl[[#This Row],[Total]]/sales_forecast_tbl[[#Totals],[Total]]</f>
        <v>4.6948172753425045E-4</v>
      </c>
      <c r="Y47" s="57">
        <v>1.1404759364050228</v>
      </c>
    </row>
    <row r="48" spans="2:25" ht="15" customHeight="1" x14ac:dyDescent="0.25">
      <c r="B48" s="57" t="s">
        <v>160</v>
      </c>
      <c r="C48" s="65" t="s">
        <v>113</v>
      </c>
      <c r="D48" s="65" t="b" cm="1">
        <f t="array" ref="D48">_xlfn.XLOOKUP(sales_forecast_tbl[[#This Row],[Customer Name]],_xlfn.ANCHORARRAY(Assumptions!$C$34),Assumptions!$D$34:$D$107)</f>
        <v>1</v>
      </c>
      <c r="E48" s="108">
        <v>1375.6422265104591</v>
      </c>
      <c r="F48" s="108">
        <v>1749.157683163163</v>
      </c>
      <c r="G48" s="108">
        <v>365.80960917654647</v>
      </c>
      <c r="H48" s="109">
        <v>1105.7790543109545</v>
      </c>
      <c r="I48" s="109">
        <v>608.58542201603518</v>
      </c>
      <c r="J48" s="108">
        <v>356.74847364012743</v>
      </c>
      <c r="K48" s="108">
        <v>333.12752593134752</v>
      </c>
      <c r="L48" s="108">
        <v>243.89096932093352</v>
      </c>
      <c r="M48" s="108">
        <v>346.23964067710205</v>
      </c>
      <c r="N48" s="108">
        <v>400.51795877319972</v>
      </c>
      <c r="O48" s="108">
        <v>676.73731357515817</v>
      </c>
      <c r="P48" s="108">
        <v>1209.3113087420388</v>
      </c>
      <c r="Q48" s="108">
        <v>1134.8007992552191</v>
      </c>
      <c r="R48" s="108">
        <f>SUM(sales_forecast_tbl[[#This Row],[Feb-25]:[Jan-26]])</f>
        <v>8530.7057585818256</v>
      </c>
      <c r="S48" s="120">
        <f>sales_forecast_tbl[[#This Row],[Total]]/sales_forecast_tbl[[#Totals],[Total]]</f>
        <v>4.1708848956690305E-4</v>
      </c>
      <c r="Y48" s="57">
        <v>0.82492437160338294</v>
      </c>
    </row>
    <row r="49" spans="2:25" ht="15" customHeight="1" x14ac:dyDescent="0.25">
      <c r="B49" s="57" t="s">
        <v>161</v>
      </c>
      <c r="C49" s="65" t="s">
        <v>113</v>
      </c>
      <c r="D49" s="65" t="b" cm="1">
        <f t="array" ref="D49">_xlfn.XLOOKUP(sales_forecast_tbl[[#This Row],[Customer Name]],_xlfn.ANCHORARRAY(Assumptions!$C$34),Assumptions!$D$34:$D$107)</f>
        <v>1</v>
      </c>
      <c r="E49" s="108">
        <v>2048.9868400523596</v>
      </c>
      <c r="F49" s="108">
        <v>2458.9825041273889</v>
      </c>
      <c r="G49" s="108">
        <v>464.66965123736429</v>
      </c>
      <c r="H49" s="109">
        <v>1510.044792466613</v>
      </c>
      <c r="I49" s="109">
        <v>898.99857240899973</v>
      </c>
      <c r="J49" s="108">
        <v>484.18191380264682</v>
      </c>
      <c r="K49" s="108">
        <v>515.20574833395528</v>
      </c>
      <c r="L49" s="108">
        <v>369.06293602855072</v>
      </c>
      <c r="M49" s="108">
        <v>536.03416293889859</v>
      </c>
      <c r="N49" s="108">
        <v>670.33297729523849</v>
      </c>
      <c r="O49" s="108">
        <v>1071.3266111809708</v>
      </c>
      <c r="P49" s="108">
        <v>1503.7349481675444</v>
      </c>
      <c r="Q49" s="108">
        <v>1739.5397426162729</v>
      </c>
      <c r="R49" s="108">
        <f>SUM(sales_forecast_tbl[[#This Row],[Feb-25]:[Jan-26]])</f>
        <v>12222.114560604443</v>
      </c>
      <c r="S49" s="120">
        <f>sales_forecast_tbl[[#This Row],[Total]]/sales_forecast_tbl[[#Totals],[Total]]</f>
        <v>5.9757110908061843E-4</v>
      </c>
      <c r="Y49" s="57">
        <v>0.84897555641295419</v>
      </c>
    </row>
    <row r="50" spans="2:25" ht="15" customHeight="1" x14ac:dyDescent="0.25">
      <c r="B50" s="57" t="s">
        <v>162</v>
      </c>
      <c r="C50" s="65" t="s">
        <v>113</v>
      </c>
      <c r="D50" s="65" t="b" cm="1">
        <f t="array" ref="D50">_xlfn.XLOOKUP(sales_forecast_tbl[[#This Row],[Customer Name]],_xlfn.ANCHORARRAY(Assumptions!$C$34),Assumptions!$D$34:$D$107)</f>
        <v>1</v>
      </c>
      <c r="E50" s="108">
        <v>2184.9710357984864</v>
      </c>
      <c r="F50" s="108">
        <v>2729.090965232378</v>
      </c>
      <c r="G50" s="108">
        <v>558.06758944350599</v>
      </c>
      <c r="H50" s="109">
        <v>1778.9565370737257</v>
      </c>
      <c r="I50" s="109">
        <v>932.63570084647949</v>
      </c>
      <c r="J50" s="108">
        <v>539.01604975788314</v>
      </c>
      <c r="K50" s="108">
        <v>539.261059449904</v>
      </c>
      <c r="L50" s="108">
        <v>410.08640911987158</v>
      </c>
      <c r="M50" s="108">
        <v>541.35108964608298</v>
      </c>
      <c r="N50" s="108">
        <v>704.45104494188763</v>
      </c>
      <c r="O50" s="108">
        <v>1112.185487559349</v>
      </c>
      <c r="P50" s="108">
        <v>1666.0142357398993</v>
      </c>
      <c r="Q50" s="108">
        <v>2391.7532922182345</v>
      </c>
      <c r="R50" s="108">
        <f>SUM(sales_forecast_tbl[[#This Row],[Feb-25]:[Jan-26]])</f>
        <v>13902.869461029202</v>
      </c>
      <c r="S50" s="120">
        <f>sales_forecast_tbl[[#This Row],[Total]]/sales_forecast_tbl[[#Totals],[Total]]</f>
        <v>6.797476068510531E-4</v>
      </c>
      <c r="Y50" s="57">
        <v>1.0946384428131244</v>
      </c>
    </row>
    <row r="51" spans="2:25" ht="15" customHeight="1" x14ac:dyDescent="0.25">
      <c r="B51" s="57" t="s">
        <v>163</v>
      </c>
      <c r="C51" s="65" t="s">
        <v>113</v>
      </c>
      <c r="D51" s="65" t="b" cm="1">
        <f t="array" ref="D51">_xlfn.XLOOKUP(sales_forecast_tbl[[#This Row],[Customer Name]],_xlfn.ANCHORARRAY(Assumptions!$C$34),Assumptions!$D$34:$D$107)</f>
        <v>1</v>
      </c>
      <c r="E51" s="108">
        <v>2614.0266955567581</v>
      </c>
      <c r="F51" s="108">
        <v>2617.3786476633923</v>
      </c>
      <c r="G51" s="108">
        <v>572.54510796602801</v>
      </c>
      <c r="H51" s="109">
        <v>1791.5848254983209</v>
      </c>
      <c r="I51" s="109">
        <v>1008.1096132488319</v>
      </c>
      <c r="J51" s="108">
        <v>598.40176978219222</v>
      </c>
      <c r="K51" s="108">
        <v>627.09883743012381</v>
      </c>
      <c r="L51" s="108">
        <v>467.5083050192336</v>
      </c>
      <c r="M51" s="108">
        <v>582.27221783176162</v>
      </c>
      <c r="N51" s="108">
        <v>705.23298026669772</v>
      </c>
      <c r="O51" s="108">
        <v>1209.2253024963584</v>
      </c>
      <c r="P51" s="108">
        <v>2000.0816954738434</v>
      </c>
      <c r="Q51" s="108">
        <v>3106.5018095175137</v>
      </c>
      <c r="R51" s="108">
        <f>SUM(sales_forecast_tbl[[#This Row],[Feb-25]:[Jan-26]])</f>
        <v>15285.941112194298</v>
      </c>
      <c r="S51" s="120">
        <f>sales_forecast_tbl[[#This Row],[Total]]/sales_forecast_tbl[[#Totals],[Total]]</f>
        <v>7.4736959291790716E-4</v>
      </c>
      <c r="Y51" s="57">
        <v>1.188397124940556</v>
      </c>
    </row>
    <row r="52" spans="2:25" ht="15" customHeight="1" x14ac:dyDescent="0.25">
      <c r="B52" s="57" t="s">
        <v>164</v>
      </c>
      <c r="C52" s="65" t="s">
        <v>113</v>
      </c>
      <c r="D52" s="65" t="b" cm="1">
        <f t="array" ref="D52">_xlfn.XLOOKUP(sales_forecast_tbl[[#This Row],[Customer Name]],_xlfn.ANCHORARRAY(Assumptions!$C$34),Assumptions!$D$34:$D$107)</f>
        <v>1</v>
      </c>
      <c r="E52" s="108">
        <v>2293.0869532600373</v>
      </c>
      <c r="F52" s="108">
        <v>2217.1491628694284</v>
      </c>
      <c r="G52" s="108">
        <v>497.16933612080123</v>
      </c>
      <c r="H52" s="109">
        <v>1553.8554481933988</v>
      </c>
      <c r="I52" s="109">
        <v>884.06345939977643</v>
      </c>
      <c r="J52" s="108">
        <v>499.87126484802837</v>
      </c>
      <c r="K52" s="108">
        <v>494.75390329704931</v>
      </c>
      <c r="L52" s="108">
        <v>370.80175543664097</v>
      </c>
      <c r="M52" s="108">
        <v>505.79587878622277</v>
      </c>
      <c r="N52" s="108">
        <v>667.40804473483513</v>
      </c>
      <c r="O52" s="108">
        <v>1079.4239581760485</v>
      </c>
      <c r="P52" s="108">
        <v>1750.6866370055652</v>
      </c>
      <c r="Q52" s="108">
        <v>2140.4159167835392</v>
      </c>
      <c r="R52" s="108">
        <f>SUM(sales_forecast_tbl[[#This Row],[Feb-25]:[Jan-26]])</f>
        <v>12661.394765651334</v>
      </c>
      <c r="S52" s="120">
        <f>sales_forecast_tbl[[#This Row],[Total]]/sales_forecast_tbl[[#Totals],[Total]]</f>
        <v>6.1904866585079895E-4</v>
      </c>
      <c r="Y52" s="57">
        <v>0.93342117434341132</v>
      </c>
    </row>
    <row r="53" spans="2:25" ht="15" customHeight="1" x14ac:dyDescent="0.25">
      <c r="B53" s="57" t="s">
        <v>165</v>
      </c>
      <c r="C53" s="65" t="s">
        <v>113</v>
      </c>
      <c r="D53" s="65" t="b" cm="1">
        <f t="array" ref="D53">_xlfn.XLOOKUP(sales_forecast_tbl[[#This Row],[Customer Name]],_xlfn.ANCHORARRAY(Assumptions!$C$34),Assumptions!$D$34:$D$107)</f>
        <v>1</v>
      </c>
      <c r="E53" s="108">
        <v>2239.9013810177871</v>
      </c>
      <c r="F53" s="108">
        <v>2492.7729860711534</v>
      </c>
      <c r="G53" s="108">
        <v>484.54850445756057</v>
      </c>
      <c r="H53" s="109">
        <v>1491.3921861162296</v>
      </c>
      <c r="I53" s="109">
        <v>836.15297636996274</v>
      </c>
      <c r="J53" s="108">
        <v>477.7875558183411</v>
      </c>
      <c r="K53" s="108">
        <v>475.68903834826847</v>
      </c>
      <c r="L53" s="108">
        <v>375.85666810884601</v>
      </c>
      <c r="M53" s="108">
        <v>516.35248855360874</v>
      </c>
      <c r="N53" s="108">
        <v>580.09224661062296</v>
      </c>
      <c r="O53" s="108">
        <v>959.31862769979989</v>
      </c>
      <c r="P53" s="108">
        <v>1563.7119276526107</v>
      </c>
      <c r="Q53" s="108">
        <v>2480.1457293313451</v>
      </c>
      <c r="R53" s="108">
        <f>SUM(sales_forecast_tbl[[#This Row],[Feb-25]:[Jan-26]])</f>
        <v>12733.82093513835</v>
      </c>
      <c r="S53" s="120">
        <f>sales_forecast_tbl[[#This Row],[Total]]/sales_forecast_tbl[[#Totals],[Total]]</f>
        <v>6.225897704781702E-4</v>
      </c>
      <c r="Y53" s="57">
        <v>1.1072566633288086</v>
      </c>
    </row>
    <row r="54" spans="2:25" ht="15" customHeight="1" x14ac:dyDescent="0.25">
      <c r="B54" s="57" t="s">
        <v>166</v>
      </c>
      <c r="C54" s="65" t="s">
        <v>113</v>
      </c>
      <c r="D54" s="65" t="b" cm="1">
        <f t="array" ref="D54">_xlfn.XLOOKUP(sales_forecast_tbl[[#This Row],[Customer Name]],_xlfn.ANCHORARRAY(Assumptions!$C$34),Assumptions!$D$34:$D$107)</f>
        <v>1</v>
      </c>
      <c r="E54" s="108">
        <v>3538.4079385279551</v>
      </c>
      <c r="F54" s="108">
        <v>3695.0990846653449</v>
      </c>
      <c r="G54" s="108">
        <v>852.12944156485196</v>
      </c>
      <c r="H54" s="109">
        <v>2497.3320818566413</v>
      </c>
      <c r="I54" s="109">
        <v>1479.2009308907898</v>
      </c>
      <c r="J54" s="108">
        <v>758.66399200738488</v>
      </c>
      <c r="K54" s="108">
        <v>847.22520241708401</v>
      </c>
      <c r="L54" s="108">
        <v>596.81565537244569</v>
      </c>
      <c r="M54" s="108">
        <v>780.47705525577976</v>
      </c>
      <c r="N54" s="108">
        <v>998.70605519074309</v>
      </c>
      <c r="O54" s="108">
        <v>1663.5268595895898</v>
      </c>
      <c r="P54" s="108">
        <v>2480.2602943504548</v>
      </c>
      <c r="Q54" s="108">
        <v>4157.5523206357857</v>
      </c>
      <c r="R54" s="108">
        <f>SUM(sales_forecast_tbl[[#This Row],[Feb-25]:[Jan-26]])</f>
        <v>20806.988973796899</v>
      </c>
      <c r="S54" s="120">
        <f>sales_forecast_tbl[[#This Row],[Total]]/sales_forecast_tbl[[#Totals],[Total]]</f>
        <v>1.0173080456779083E-3</v>
      </c>
      <c r="Y54" s="57">
        <v>1.1749782367844805</v>
      </c>
    </row>
    <row r="55" spans="2:25" ht="15" customHeight="1" x14ac:dyDescent="0.25">
      <c r="B55" s="57" t="s">
        <v>167</v>
      </c>
      <c r="C55" s="65" t="s">
        <v>113</v>
      </c>
      <c r="D55" s="65" t="b" cm="1">
        <f t="array" ref="D55">_xlfn.XLOOKUP(sales_forecast_tbl[[#This Row],[Customer Name]],_xlfn.ANCHORARRAY(Assumptions!$C$34),Assumptions!$D$34:$D$107)</f>
        <v>1</v>
      </c>
      <c r="E55" s="108">
        <v>3552.2947831518131</v>
      </c>
      <c r="F55" s="108">
        <v>4305.1556756798173</v>
      </c>
      <c r="G55" s="108">
        <v>922.38993678928125</v>
      </c>
      <c r="H55" s="109">
        <v>2774.4563268301772</v>
      </c>
      <c r="I55" s="109">
        <v>1582.2972802932695</v>
      </c>
      <c r="J55" s="108">
        <v>857.13327908633369</v>
      </c>
      <c r="K55" s="108">
        <v>880.86006308087417</v>
      </c>
      <c r="L55" s="108">
        <v>709.51109915396057</v>
      </c>
      <c r="M55" s="108">
        <v>871.53336807338792</v>
      </c>
      <c r="N55" s="108">
        <v>1139.2925911698867</v>
      </c>
      <c r="O55" s="108">
        <v>1767.1749221032708</v>
      </c>
      <c r="P55" s="108">
        <v>2814.4147509239501</v>
      </c>
      <c r="Q55" s="108">
        <v>3784.2632314378966</v>
      </c>
      <c r="R55" s="108">
        <f>SUM(sales_forecast_tbl[[#This Row],[Feb-25]:[Jan-26]])</f>
        <v>22408.482524622108</v>
      </c>
      <c r="S55" s="120">
        <f>sales_forecast_tbl[[#This Row],[Total]]/sales_forecast_tbl[[#Totals],[Total]]</f>
        <v>1.0956092490095148E-3</v>
      </c>
      <c r="Y55" s="57">
        <v>1.0653010131327747</v>
      </c>
    </row>
    <row r="56" spans="2:25" ht="15" customHeight="1" x14ac:dyDescent="0.25">
      <c r="B56" s="57" t="s">
        <v>168</v>
      </c>
      <c r="C56" s="65" t="s">
        <v>113</v>
      </c>
      <c r="D56" s="65" t="b" cm="1">
        <f t="array" ref="D56">_xlfn.XLOOKUP(sales_forecast_tbl[[#This Row],[Customer Name]],_xlfn.ANCHORARRAY(Assumptions!$C$34),Assumptions!$D$34:$D$107)</f>
        <v>1</v>
      </c>
      <c r="E56" s="108">
        <v>3287.9085095782489</v>
      </c>
      <c r="F56" s="108">
        <v>3464.9787754830322</v>
      </c>
      <c r="G56" s="108">
        <v>799.11573028563794</v>
      </c>
      <c r="H56" s="109">
        <v>2473.8798485160482</v>
      </c>
      <c r="I56" s="109">
        <v>1323.9331954515549</v>
      </c>
      <c r="J56" s="108">
        <v>744.11053232139602</v>
      </c>
      <c r="K56" s="108">
        <v>738.34775632322464</v>
      </c>
      <c r="L56" s="108">
        <v>618.18097105325467</v>
      </c>
      <c r="M56" s="108">
        <v>723.12202315551372</v>
      </c>
      <c r="N56" s="108">
        <v>923.28147528464604</v>
      </c>
      <c r="O56" s="108">
        <v>1612.2313587801755</v>
      </c>
      <c r="P56" s="108">
        <v>2487.8112657249512</v>
      </c>
      <c r="Q56" s="108">
        <v>3044.7448980509994</v>
      </c>
      <c r="R56" s="108">
        <f>SUM(sales_forecast_tbl[[#This Row],[Feb-25]:[Jan-26]])</f>
        <v>18953.737830430433</v>
      </c>
      <c r="S56" s="120">
        <f>sales_forecast_tbl[[#This Row],[Total]]/sales_forecast_tbl[[#Totals],[Total]]</f>
        <v>9.266977559727154E-4</v>
      </c>
      <c r="Y56" s="57">
        <v>0.92604307242161044</v>
      </c>
    </row>
    <row r="57" spans="2:25" ht="15" customHeight="1" x14ac:dyDescent="0.25">
      <c r="B57" s="57" t="s">
        <v>169</v>
      </c>
      <c r="C57" s="65" t="s">
        <v>113</v>
      </c>
      <c r="D57" s="65" t="b" cm="1">
        <f t="array" ref="D57">_xlfn.XLOOKUP(sales_forecast_tbl[[#This Row],[Customer Name]],_xlfn.ANCHORARRAY(Assumptions!$C$34),Assumptions!$D$34:$D$107)</f>
        <v>1</v>
      </c>
      <c r="E57" s="108">
        <v>2909.1817451725201</v>
      </c>
      <c r="F57" s="108">
        <v>3255.3803586892668</v>
      </c>
      <c r="G57" s="108">
        <v>761.83162655112926</v>
      </c>
      <c r="H57" s="109">
        <v>2289.8245143183717</v>
      </c>
      <c r="I57" s="109">
        <v>1285.6696408556543</v>
      </c>
      <c r="J57" s="108">
        <v>710.94757901552441</v>
      </c>
      <c r="K57" s="108">
        <v>673.41376437077236</v>
      </c>
      <c r="L57" s="108">
        <v>515.8479421014157</v>
      </c>
      <c r="M57" s="108">
        <v>661.00743026781106</v>
      </c>
      <c r="N57" s="108">
        <v>839.73698863264428</v>
      </c>
      <c r="O57" s="108">
        <v>1475.8725613231604</v>
      </c>
      <c r="P57" s="108">
        <v>2400.4707566273787</v>
      </c>
      <c r="Q57" s="108">
        <v>2406.1680117146834</v>
      </c>
      <c r="R57" s="108">
        <f>SUM(sales_forecast_tbl[[#This Row],[Feb-25]:[Jan-26]])</f>
        <v>17276.171174467814</v>
      </c>
      <c r="S57" s="120">
        <f>sales_forecast_tbl[[#This Row],[Total]]/sales_forecast_tbl[[#Totals],[Total]]</f>
        <v>8.4467713980278573E-4</v>
      </c>
      <c r="Y57" s="57">
        <v>0.82709442808358924</v>
      </c>
    </row>
    <row r="58" spans="2:25" ht="15" customHeight="1" x14ac:dyDescent="0.25">
      <c r="B58" s="57" t="s">
        <v>170</v>
      </c>
      <c r="C58" s="65" t="s">
        <v>113</v>
      </c>
      <c r="D58" s="65" t="b" cm="1">
        <f t="array" ref="D58">_xlfn.XLOOKUP(sales_forecast_tbl[[#This Row],[Customer Name]],_xlfn.ANCHORARRAY(Assumptions!$C$34),Assumptions!$D$34:$D$107)</f>
        <v>1</v>
      </c>
      <c r="E58" s="108">
        <v>3703.5361080626221</v>
      </c>
      <c r="F58" s="108">
        <v>4139.7487241589906</v>
      </c>
      <c r="G58" s="108">
        <v>886.24009288064201</v>
      </c>
      <c r="H58" s="109">
        <v>2385.7621901129746</v>
      </c>
      <c r="I58" s="109">
        <v>1372.155713407225</v>
      </c>
      <c r="J58" s="108">
        <v>763.19131621637382</v>
      </c>
      <c r="K58" s="108">
        <v>767.07581054043953</v>
      </c>
      <c r="L58" s="108">
        <v>639.63612585048156</v>
      </c>
      <c r="M58" s="108">
        <v>817.80815585896187</v>
      </c>
      <c r="N58" s="108">
        <v>1026.2116368347513</v>
      </c>
      <c r="O58" s="108">
        <v>1724.4267108492324</v>
      </c>
      <c r="P58" s="108">
        <v>2721.4148222224208</v>
      </c>
      <c r="Q58" s="108">
        <v>3333.9775135807081</v>
      </c>
      <c r="R58" s="108">
        <f>SUM(sales_forecast_tbl[[#This Row],[Feb-25]:[Jan-26]])</f>
        <v>20577.648812513202</v>
      </c>
      <c r="S58" s="120">
        <f>sales_forecast_tbl[[#This Row],[Total]]/sales_forecast_tbl[[#Totals],[Total]]</f>
        <v>1.006095006080262E-3</v>
      </c>
      <c r="Y58" s="57">
        <v>0.90021466412130224</v>
      </c>
    </row>
    <row r="59" spans="2:25" ht="15" customHeight="1" x14ac:dyDescent="0.25">
      <c r="B59" s="57" t="s">
        <v>171</v>
      </c>
      <c r="C59" s="65" t="s">
        <v>113</v>
      </c>
      <c r="D59" s="65" t="b" cm="1">
        <f t="array" ref="D59">_xlfn.XLOOKUP(sales_forecast_tbl[[#This Row],[Customer Name]],_xlfn.ANCHORARRAY(Assumptions!$C$34),Assumptions!$D$34:$D$107)</f>
        <v>1</v>
      </c>
      <c r="E59" s="108">
        <v>8317.4480346065357</v>
      </c>
      <c r="F59" s="108">
        <v>10140.347713098883</v>
      </c>
      <c r="G59" s="108">
        <v>2274.716227951259</v>
      </c>
      <c r="H59" s="109">
        <v>6854.9132942563456</v>
      </c>
      <c r="I59" s="109">
        <v>3720.4872100555522</v>
      </c>
      <c r="J59" s="108">
        <v>2186.322251731744</v>
      </c>
      <c r="K59" s="108">
        <v>2096.8110350119273</v>
      </c>
      <c r="L59" s="108">
        <v>1556.7731494953641</v>
      </c>
      <c r="M59" s="108">
        <v>2191.6286403009917</v>
      </c>
      <c r="N59" s="108">
        <v>2862.435832533416</v>
      </c>
      <c r="O59" s="108">
        <v>4270.0265005533547</v>
      </c>
      <c r="P59" s="108">
        <v>6387.5026302788465</v>
      </c>
      <c r="Q59" s="108">
        <v>9049.7571471524498</v>
      </c>
      <c r="R59" s="108">
        <f>SUM(sales_forecast_tbl[[#This Row],[Feb-25]:[Jan-26]])</f>
        <v>53591.721632420136</v>
      </c>
      <c r="S59" s="120">
        <f>sales_forecast_tbl[[#This Row],[Total]]/sales_forecast_tbl[[#Totals],[Total]]</f>
        <v>2.6202392699419506E-3</v>
      </c>
      <c r="Y59" s="57">
        <v>1.0880449279032445</v>
      </c>
    </row>
    <row r="60" spans="2:25" ht="15" customHeight="1" x14ac:dyDescent="0.25">
      <c r="B60" s="57" t="s">
        <v>172</v>
      </c>
      <c r="C60" s="65" t="s">
        <v>113</v>
      </c>
      <c r="D60" s="65" t="b" cm="1">
        <f t="array" ref="D60">_xlfn.XLOOKUP(sales_forecast_tbl[[#This Row],[Customer Name]],_xlfn.ANCHORARRAY(Assumptions!$C$34),Assumptions!$D$34:$D$107)</f>
        <v>1</v>
      </c>
      <c r="E60" s="108">
        <v>9397.0913335356599</v>
      </c>
      <c r="F60" s="108">
        <v>10270.695674159308</v>
      </c>
      <c r="G60" s="108">
        <v>2181.6078882210136</v>
      </c>
      <c r="H60" s="109">
        <v>6567.9331566429491</v>
      </c>
      <c r="I60" s="109">
        <v>3454.7252853031678</v>
      </c>
      <c r="J60" s="108">
        <v>2216.3892296685135</v>
      </c>
      <c r="K60" s="108">
        <v>1967.709353301288</v>
      </c>
      <c r="L60" s="108">
        <v>1575.9342841106618</v>
      </c>
      <c r="M60" s="108">
        <v>2011.8684372371565</v>
      </c>
      <c r="N60" s="108">
        <v>2810.999251944605</v>
      </c>
      <c r="O60" s="108">
        <v>4254.7776720852125</v>
      </c>
      <c r="P60" s="108">
        <v>7347.8344837477853</v>
      </c>
      <c r="Q60" s="108">
        <v>7639.3509953189414</v>
      </c>
      <c r="R60" s="108">
        <f>SUM(sales_forecast_tbl[[#This Row],[Feb-25]:[Jan-26]])</f>
        <v>52299.825711740603</v>
      </c>
      <c r="S60" s="120">
        <f>sales_forecast_tbl[[#This Row],[Total]]/sales_forecast_tbl[[#Totals],[Total]]</f>
        <v>2.557075103519752E-3</v>
      </c>
      <c r="Y60" s="57">
        <v>0.8129484671555951</v>
      </c>
    </row>
    <row r="61" spans="2:25" ht="15" customHeight="1" x14ac:dyDescent="0.25">
      <c r="B61" s="57" t="s">
        <v>173</v>
      </c>
      <c r="C61" s="65" t="s">
        <v>113</v>
      </c>
      <c r="D61" s="65" t="b" cm="1">
        <f t="array" ref="D61">_xlfn.XLOOKUP(sales_forecast_tbl[[#This Row],[Customer Name]],_xlfn.ANCHORARRAY(Assumptions!$C$34),Assumptions!$D$34:$D$107)</f>
        <v>1</v>
      </c>
      <c r="E61" s="108">
        <v>10161.234130904673</v>
      </c>
      <c r="F61" s="108">
        <v>11283.239651879119</v>
      </c>
      <c r="G61" s="108">
        <v>2224.5731390927886</v>
      </c>
      <c r="H61" s="109">
        <v>6886.7294996806168</v>
      </c>
      <c r="I61" s="109">
        <v>3711.5016641192092</v>
      </c>
      <c r="J61" s="108">
        <v>2204.6894782186137</v>
      </c>
      <c r="K61" s="108">
        <v>2118.6663443266248</v>
      </c>
      <c r="L61" s="108">
        <v>1756.8908648806553</v>
      </c>
      <c r="M61" s="108">
        <v>2174.4269674718134</v>
      </c>
      <c r="N61" s="108">
        <v>2920.9525933608411</v>
      </c>
      <c r="O61" s="108">
        <v>4722.916114828432</v>
      </c>
      <c r="P61" s="108">
        <v>7857.7070288955656</v>
      </c>
      <c r="Q61" s="108">
        <v>12547.910490598502</v>
      </c>
      <c r="R61" s="108">
        <f>SUM(sales_forecast_tbl[[#This Row],[Feb-25]:[Jan-26]])</f>
        <v>60410.203837352776</v>
      </c>
      <c r="S61" s="120">
        <f>sales_forecast_tbl[[#This Row],[Total]]/sales_forecast_tbl[[#Totals],[Total]]</f>
        <v>2.9536126770757284E-3</v>
      </c>
      <c r="Y61" s="57">
        <v>1.234880559678762</v>
      </c>
    </row>
    <row r="62" spans="2:25" ht="15" customHeight="1" x14ac:dyDescent="0.25">
      <c r="B62" s="57" t="s">
        <v>174</v>
      </c>
      <c r="C62" s="65" t="s">
        <v>113</v>
      </c>
      <c r="D62" s="65" t="b" cm="1">
        <f t="array" ref="D62">_xlfn.XLOOKUP(sales_forecast_tbl[[#This Row],[Customer Name]],_xlfn.ANCHORARRAY(Assumptions!$C$34),Assumptions!$D$34:$D$107)</f>
        <v>1</v>
      </c>
      <c r="E62" s="108">
        <v>9281.7528430630391</v>
      </c>
      <c r="F62" s="108">
        <v>9882.1360730017732</v>
      </c>
      <c r="G62" s="108">
        <v>2056.581742313233</v>
      </c>
      <c r="H62" s="109">
        <v>5892.3539636004643</v>
      </c>
      <c r="I62" s="109">
        <v>3713.2490930514518</v>
      </c>
      <c r="J62" s="108">
        <v>1999.8405752296326</v>
      </c>
      <c r="K62" s="108">
        <v>2021.7539732484527</v>
      </c>
      <c r="L62" s="108">
        <v>1654.037199376967</v>
      </c>
      <c r="M62" s="108">
        <v>2026.437794805787</v>
      </c>
      <c r="N62" s="108">
        <v>2518.4726898942799</v>
      </c>
      <c r="O62" s="108">
        <v>4294.7309888194031</v>
      </c>
      <c r="P62" s="108">
        <v>6546.9347568153571</v>
      </c>
      <c r="Q62" s="108">
        <v>10822.808180110898</v>
      </c>
      <c r="R62" s="108">
        <f>SUM(sales_forecast_tbl[[#This Row],[Feb-25]:[Jan-26]])</f>
        <v>53429.337030267699</v>
      </c>
      <c r="S62" s="120">
        <f>sales_forecast_tbl[[#This Row],[Total]]/sales_forecast_tbl[[#Totals],[Total]]</f>
        <v>2.6122998625403358E-3</v>
      </c>
      <c r="Y62" s="57">
        <v>1.1660306370040447</v>
      </c>
    </row>
    <row r="63" spans="2:25" ht="15" customHeight="1" x14ac:dyDescent="0.25">
      <c r="B63" s="57" t="s">
        <v>175</v>
      </c>
      <c r="C63" s="65" t="s">
        <v>113</v>
      </c>
      <c r="D63" s="65" t="b" cm="1">
        <f t="array" ref="D63">_xlfn.XLOOKUP(sales_forecast_tbl[[#This Row],[Customer Name]],_xlfn.ANCHORARRAY(Assumptions!$C$34),Assumptions!$D$34:$D$107)</f>
        <v>1</v>
      </c>
      <c r="E63" s="108">
        <v>9704.3178760888768</v>
      </c>
      <c r="F63" s="108">
        <v>11338.349992923015</v>
      </c>
      <c r="G63" s="108">
        <v>2436.8352820597502</v>
      </c>
      <c r="H63" s="109">
        <v>7273.1453283015617</v>
      </c>
      <c r="I63" s="109">
        <v>3939.3802208059242</v>
      </c>
      <c r="J63" s="108">
        <v>2285.5850155342591</v>
      </c>
      <c r="K63" s="108">
        <v>2379.9982336681896</v>
      </c>
      <c r="L63" s="108">
        <v>1646.1433614355494</v>
      </c>
      <c r="M63" s="108">
        <v>2141.3501309523776</v>
      </c>
      <c r="N63" s="108">
        <v>2819.5420485158952</v>
      </c>
      <c r="O63" s="108">
        <v>4728.8867540388383</v>
      </c>
      <c r="P63" s="108">
        <v>7088.6916796028845</v>
      </c>
      <c r="Q63" s="108">
        <v>8178.3774193719037</v>
      </c>
      <c r="R63" s="108">
        <f>SUM(sales_forecast_tbl[[#This Row],[Feb-25]:[Jan-26]])</f>
        <v>56256.285467210138</v>
      </c>
      <c r="S63" s="120">
        <f>sales_forecast_tbl[[#This Row],[Total]]/sales_forecast_tbl[[#Totals],[Total]]</f>
        <v>2.7505167565483944E-3</v>
      </c>
      <c r="Y63" s="57">
        <v>0.84275654649804488</v>
      </c>
    </row>
    <row r="64" spans="2:25" ht="15" customHeight="1" x14ac:dyDescent="0.25">
      <c r="B64" s="57" t="s">
        <v>176</v>
      </c>
      <c r="C64" s="65" t="s">
        <v>113</v>
      </c>
      <c r="D64" s="65" t="b" cm="1">
        <f t="array" ref="D64">_xlfn.XLOOKUP(sales_forecast_tbl[[#This Row],[Customer Name]],_xlfn.ANCHORARRAY(Assumptions!$C$34),Assumptions!$D$34:$D$107)</f>
        <v>1</v>
      </c>
      <c r="E64" s="108">
        <v>15752.105000225227</v>
      </c>
      <c r="F64" s="108">
        <v>18856.68639670419</v>
      </c>
      <c r="G64" s="108">
        <v>4292.6576976296446</v>
      </c>
      <c r="H64" s="109">
        <v>12121.364958470518</v>
      </c>
      <c r="I64" s="109">
        <v>7004.4788824511015</v>
      </c>
      <c r="J64" s="108">
        <v>3862.2934082410843</v>
      </c>
      <c r="K64" s="108">
        <v>4321.7651273393585</v>
      </c>
      <c r="L64" s="108">
        <v>2929.814687468805</v>
      </c>
      <c r="M64" s="108">
        <v>4322.2051710195865</v>
      </c>
      <c r="N64" s="108">
        <v>5321.0854024188975</v>
      </c>
      <c r="O64" s="108">
        <v>7502.6742659875999</v>
      </c>
      <c r="P64" s="108">
        <v>13938.118206753441</v>
      </c>
      <c r="Q64" s="108">
        <v>19004.604073565108</v>
      </c>
      <c r="R64" s="108">
        <f>SUM(sales_forecast_tbl[[#This Row],[Feb-25]:[Jan-26]])</f>
        <v>103477.74827804933</v>
      </c>
      <c r="S64" s="120">
        <f>sales_forecast_tbl[[#This Row],[Total]]/sales_forecast_tbl[[#Totals],[Total]]</f>
        <v>5.0592974314766148E-3</v>
      </c>
      <c r="Y64" s="57">
        <v>1.2064802814159361</v>
      </c>
    </row>
    <row r="65" spans="2:25" ht="15" customHeight="1" x14ac:dyDescent="0.25">
      <c r="B65" s="57" t="s">
        <v>177</v>
      </c>
      <c r="C65" s="65" t="s">
        <v>113</v>
      </c>
      <c r="D65" s="65" t="b" cm="1">
        <f t="array" ref="D65">_xlfn.XLOOKUP(sales_forecast_tbl[[#This Row],[Customer Name]],_xlfn.ANCHORARRAY(Assumptions!$C$34),Assumptions!$D$34:$D$107)</f>
        <v>1</v>
      </c>
      <c r="E65" s="108">
        <v>16440.320143794223</v>
      </c>
      <c r="F65" s="108">
        <v>16750.407831354423</v>
      </c>
      <c r="G65" s="108">
        <v>3752.5351353028927</v>
      </c>
      <c r="H65" s="109">
        <v>11644.085989481619</v>
      </c>
      <c r="I65" s="109">
        <v>6605.8956592279019</v>
      </c>
      <c r="J65" s="108">
        <v>3571.3246440921839</v>
      </c>
      <c r="K65" s="108">
        <v>3704.2610911943748</v>
      </c>
      <c r="L65" s="108">
        <v>2764.3073914690249</v>
      </c>
      <c r="M65" s="108">
        <v>3411.6831510444567</v>
      </c>
      <c r="N65" s="108">
        <v>4779.724689059085</v>
      </c>
      <c r="O65" s="108">
        <v>6739.4468230084203</v>
      </c>
      <c r="P65" s="108">
        <v>11780.278514762016</v>
      </c>
      <c r="Q65" s="108">
        <v>15698.699300065407</v>
      </c>
      <c r="R65" s="108">
        <f>SUM(sales_forecast_tbl[[#This Row],[Feb-25]:[Jan-26]])</f>
        <v>91202.650220061798</v>
      </c>
      <c r="S65" s="120">
        <f>sales_forecast_tbl[[#This Row],[Total]]/sales_forecast_tbl[[#Totals],[Total]]</f>
        <v>4.4591358207984877E-3</v>
      </c>
      <c r="Y65" s="57">
        <v>0.95489012152790975</v>
      </c>
    </row>
    <row r="66" spans="2:25" ht="15" customHeight="1" x14ac:dyDescent="0.25">
      <c r="B66" s="57" t="s">
        <v>178</v>
      </c>
      <c r="C66" s="65" t="s">
        <v>113</v>
      </c>
      <c r="D66" s="65" t="b" cm="1">
        <f t="array" ref="D66">_xlfn.XLOOKUP(sales_forecast_tbl[[#This Row],[Customer Name]],_xlfn.ANCHORARRAY(Assumptions!$C$34),Assumptions!$D$34:$D$107)</f>
        <v>1</v>
      </c>
      <c r="E66" s="108">
        <v>16220.758919694985</v>
      </c>
      <c r="F66" s="108">
        <v>18989.890625270917</v>
      </c>
      <c r="G66" s="108">
        <v>3734.3230905668865</v>
      </c>
      <c r="H66" s="109">
        <v>12273.104920226802</v>
      </c>
      <c r="I66" s="109">
        <v>6398.2415173611425</v>
      </c>
      <c r="J66" s="108">
        <v>3690.6873212064816</v>
      </c>
      <c r="K66" s="108">
        <v>3980.9864649267174</v>
      </c>
      <c r="L66" s="108">
        <v>2880.2354919378731</v>
      </c>
      <c r="M66" s="108">
        <v>3966.2071143773082</v>
      </c>
      <c r="N66" s="108">
        <v>4629.8320531456466</v>
      </c>
      <c r="O66" s="108">
        <v>7846.4485662098959</v>
      </c>
      <c r="P66" s="108">
        <v>12197.725574946118</v>
      </c>
      <c r="Q66" s="108">
        <v>17879.148349960746</v>
      </c>
      <c r="R66" s="108">
        <f>SUM(sales_forecast_tbl[[#This Row],[Feb-25]:[Jan-26]])</f>
        <v>98466.831090136533</v>
      </c>
      <c r="S66" s="120">
        <f>sales_forecast_tbl[[#This Row],[Total]]/sales_forecast_tbl[[#Totals],[Total]]</f>
        <v>4.8143005999836449E-3</v>
      </c>
      <c r="Y66" s="57">
        <v>1.1022387077248383</v>
      </c>
    </row>
    <row r="67" spans="2:25" ht="15" customHeight="1" x14ac:dyDescent="0.25">
      <c r="B67" s="57" t="s">
        <v>179</v>
      </c>
      <c r="C67" s="65" t="s">
        <v>113</v>
      </c>
      <c r="D67" s="65" t="b" cm="1">
        <f t="array" ref="D67">_xlfn.XLOOKUP(sales_forecast_tbl[[#This Row],[Customer Name]],_xlfn.ANCHORARRAY(Assumptions!$C$34),Assumptions!$D$34:$D$107)</f>
        <v>1</v>
      </c>
      <c r="E67" s="108">
        <v>16183.721264945385</v>
      </c>
      <c r="F67" s="108">
        <v>18379.339807734636</v>
      </c>
      <c r="G67" s="108">
        <v>4403.782846880471</v>
      </c>
      <c r="H67" s="109">
        <v>12881.77219176675</v>
      </c>
      <c r="I67" s="109">
        <v>7658.5062377976437</v>
      </c>
      <c r="J67" s="108">
        <v>4401.0145598042864</v>
      </c>
      <c r="K67" s="108">
        <v>3905.0627757963084</v>
      </c>
      <c r="L67" s="108">
        <v>3016.1580150301911</v>
      </c>
      <c r="M67" s="108">
        <v>4097.5630316433108</v>
      </c>
      <c r="N67" s="108">
        <v>5076.7255040647005</v>
      </c>
      <c r="O67" s="108">
        <v>8258.5281710315703</v>
      </c>
      <c r="P67" s="108">
        <v>13325.921964967105</v>
      </c>
      <c r="Q67" s="108">
        <v>16745.386905587289</v>
      </c>
      <c r="R67" s="108">
        <f>SUM(sales_forecast_tbl[[#This Row],[Feb-25]:[Jan-26]])</f>
        <v>102149.76201210426</v>
      </c>
      <c r="S67" s="120">
        <f>sales_forecast_tbl[[#This Row],[Total]]/sales_forecast_tbl[[#Totals],[Total]]</f>
        <v>4.9943687137944445E-3</v>
      </c>
      <c r="Y67" s="57">
        <v>1.0347055928266939</v>
      </c>
    </row>
    <row r="68" spans="2:25" ht="15" customHeight="1" x14ac:dyDescent="0.25">
      <c r="B68" s="57" t="s">
        <v>180</v>
      </c>
      <c r="C68" s="65" t="s">
        <v>113</v>
      </c>
      <c r="D68" s="65" t="b" cm="1">
        <f t="array" ref="D68">_xlfn.XLOOKUP(sales_forecast_tbl[[#This Row],[Customer Name]],_xlfn.ANCHORARRAY(Assumptions!$C$34),Assumptions!$D$34:$D$107)</f>
        <v>1</v>
      </c>
      <c r="E68" s="108">
        <v>17358.74065583706</v>
      </c>
      <c r="F68" s="108">
        <v>17840.551445386707</v>
      </c>
      <c r="G68" s="108">
        <v>4020.5124656351477</v>
      </c>
      <c r="H68" s="109">
        <v>12037.580635049782</v>
      </c>
      <c r="I68" s="109">
        <v>6317.9921537992086</v>
      </c>
      <c r="J68" s="108">
        <v>4193.6615745019308</v>
      </c>
      <c r="K68" s="108">
        <v>3683.0148676911558</v>
      </c>
      <c r="L68" s="108">
        <v>3074.52181290926</v>
      </c>
      <c r="M68" s="108">
        <v>3785.8627068703408</v>
      </c>
      <c r="N68" s="108">
        <v>4512.5236012857204</v>
      </c>
      <c r="O68" s="108">
        <v>8116.7122088358683</v>
      </c>
      <c r="P68" s="108">
        <v>13014.449913717637</v>
      </c>
      <c r="Q68" s="108">
        <v>15342.549326893539</v>
      </c>
      <c r="R68" s="108">
        <f>SUM(sales_forecast_tbl[[#This Row],[Feb-25]:[Jan-26]])</f>
        <v>95939.932712576294</v>
      </c>
      <c r="S68" s="120">
        <f>sales_forecast_tbl[[#This Row],[Total]]/sales_forecast_tbl[[#Totals],[Total]]</f>
        <v>4.6907539372089491E-3</v>
      </c>
      <c r="Y68" s="57">
        <v>0.88385152074580042</v>
      </c>
    </row>
    <row r="69" spans="2:25" ht="15" customHeight="1" x14ac:dyDescent="0.25">
      <c r="B69" s="57" t="s">
        <v>181</v>
      </c>
      <c r="C69" s="65" t="s">
        <v>113</v>
      </c>
      <c r="D69" s="65" t="b" cm="1">
        <f t="array" ref="D69">_xlfn.XLOOKUP(sales_forecast_tbl[[#This Row],[Customer Name]],_xlfn.ANCHORARRAY(Assumptions!$C$34),Assumptions!$D$34:$D$107)</f>
        <v>1</v>
      </c>
      <c r="E69" s="108">
        <v>32063.837986524231</v>
      </c>
      <c r="F69" s="108">
        <v>38097.118978352235</v>
      </c>
      <c r="G69" s="108">
        <v>8430.9343934097924</v>
      </c>
      <c r="H69" s="109">
        <v>22947.72003407079</v>
      </c>
      <c r="I69" s="109">
        <v>14333.547663951293</v>
      </c>
      <c r="J69" s="108">
        <v>7431.9192394201909</v>
      </c>
      <c r="K69" s="108">
        <v>7990.134879800501</v>
      </c>
      <c r="L69" s="108">
        <v>5888.76130924059</v>
      </c>
      <c r="M69" s="108">
        <v>7764.5891446774222</v>
      </c>
      <c r="N69" s="108">
        <v>9814.6847180747754</v>
      </c>
      <c r="O69" s="108">
        <v>15426.707966904334</v>
      </c>
      <c r="P69" s="108">
        <v>26932.408426929389</v>
      </c>
      <c r="Q69" s="108">
        <v>33966.251002163437</v>
      </c>
      <c r="R69" s="108">
        <f>SUM(sales_forecast_tbl[[#This Row],[Feb-25]:[Jan-26]])</f>
        <v>199024.77775699476</v>
      </c>
      <c r="S69" s="120">
        <f>sales_forecast_tbl[[#This Row],[Total]]/sales_forecast_tbl[[#Totals],[Total]]</f>
        <v>9.7308413031999275E-3</v>
      </c>
      <c r="Y69" s="57">
        <v>1.0593320430460866</v>
      </c>
    </row>
    <row r="70" spans="2:25" ht="15" customHeight="1" x14ac:dyDescent="0.25">
      <c r="B70" s="57" t="s">
        <v>182</v>
      </c>
      <c r="C70" s="65" t="s">
        <v>113</v>
      </c>
      <c r="D70" s="65" t="b" cm="1">
        <f t="array" ref="D70">_xlfn.XLOOKUP(sales_forecast_tbl[[#This Row],[Customer Name]],_xlfn.ANCHORARRAY(Assumptions!$C$34),Assumptions!$D$34:$D$107)</f>
        <v>1</v>
      </c>
      <c r="E70" s="108">
        <v>35141.784252095727</v>
      </c>
      <c r="F70" s="108">
        <v>43071.71211006747</v>
      </c>
      <c r="G70" s="108">
        <v>8188.9843636207734</v>
      </c>
      <c r="H70" s="109">
        <v>24147.603431448941</v>
      </c>
      <c r="I70" s="109">
        <v>15854.222381102225</v>
      </c>
      <c r="J70" s="108">
        <v>8296.1049459238402</v>
      </c>
      <c r="K70" s="108">
        <v>8007.9540515202016</v>
      </c>
      <c r="L70" s="108">
        <v>6843.4880559771718</v>
      </c>
      <c r="M70" s="108">
        <v>8202.9559500671821</v>
      </c>
      <c r="N70" s="108">
        <v>10201.873467348891</v>
      </c>
      <c r="O70" s="108">
        <v>16275.615753944392</v>
      </c>
      <c r="P70" s="108">
        <v>27545.752417586755</v>
      </c>
      <c r="Q70" s="108">
        <v>31449.152482044246</v>
      </c>
      <c r="R70" s="108">
        <f>SUM(sales_forecast_tbl[[#This Row],[Feb-25]:[Jan-26]])</f>
        <v>208085.41941065207</v>
      </c>
      <c r="S70" s="120">
        <f>sales_forecast_tbl[[#This Row],[Total]]/sales_forecast_tbl[[#Totals],[Total]]</f>
        <v>1.0173839743045207E-2</v>
      </c>
      <c r="Y70" s="57">
        <v>0.89492190426183993</v>
      </c>
    </row>
    <row r="71" spans="2:25" ht="15" customHeight="1" x14ac:dyDescent="0.25">
      <c r="B71" s="57" t="s">
        <v>183</v>
      </c>
      <c r="C71" s="65" t="s">
        <v>113</v>
      </c>
      <c r="D71" s="65" t="b" cm="1">
        <f t="array" ref="D71">_xlfn.XLOOKUP(sales_forecast_tbl[[#This Row],[Customer Name]],_xlfn.ANCHORARRAY(Assumptions!$C$34),Assumptions!$D$34:$D$107)</f>
        <v>1</v>
      </c>
      <c r="E71" s="108">
        <v>34020.07779595787</v>
      </c>
      <c r="F71" s="108">
        <v>39083.498150706168</v>
      </c>
      <c r="G71" s="108">
        <v>8944.5666122265757</v>
      </c>
      <c r="H71" s="109">
        <v>26039.865897418618</v>
      </c>
      <c r="I71" s="109">
        <v>15420.388632074308</v>
      </c>
      <c r="J71" s="108">
        <v>8813.1152136363635</v>
      </c>
      <c r="K71" s="108">
        <v>8063.1929774864211</v>
      </c>
      <c r="L71" s="108">
        <v>6412.622257984508</v>
      </c>
      <c r="M71" s="108">
        <v>8667.7797266440084</v>
      </c>
      <c r="N71" s="108">
        <v>10976.622063282652</v>
      </c>
      <c r="O71" s="108">
        <v>15810.709689588657</v>
      </c>
      <c r="P71" s="108">
        <v>28371.668927909312</v>
      </c>
      <c r="Q71" s="108">
        <v>33111.476555542169</v>
      </c>
      <c r="R71" s="108">
        <f>SUM(sales_forecast_tbl[[#This Row],[Feb-25]:[Jan-26]])</f>
        <v>209715.50670449977</v>
      </c>
      <c r="S71" s="120">
        <f>sales_forecast_tbl[[#This Row],[Total]]/sales_forecast_tbl[[#Totals],[Total]]</f>
        <v>1.0253538969169515E-2</v>
      </c>
      <c r="Y71" s="57">
        <v>0.97329220568320807</v>
      </c>
    </row>
    <row r="72" spans="2:25" ht="15" customHeight="1" x14ac:dyDescent="0.25">
      <c r="B72" s="57" t="s">
        <v>184</v>
      </c>
      <c r="C72" s="65" t="s">
        <v>113</v>
      </c>
      <c r="D72" s="65" t="b" cm="1">
        <f t="array" ref="D72">_xlfn.XLOOKUP(sales_forecast_tbl[[#This Row],[Customer Name]],_xlfn.ANCHORARRAY(Assumptions!$C$34),Assumptions!$D$34:$D$107)</f>
        <v>1</v>
      </c>
      <c r="E72" s="108">
        <v>30690.923476169748</v>
      </c>
      <c r="F72" s="108">
        <v>36285.713282183468</v>
      </c>
      <c r="G72" s="108">
        <v>6979.1810155848916</v>
      </c>
      <c r="H72" s="109">
        <v>21298.501224898457</v>
      </c>
      <c r="I72" s="109">
        <v>14167.882309120048</v>
      </c>
      <c r="J72" s="108">
        <v>7781.4534514210245</v>
      </c>
      <c r="K72" s="108">
        <v>7471.6205761326637</v>
      </c>
      <c r="L72" s="108">
        <v>5978.9999347989105</v>
      </c>
      <c r="M72" s="108">
        <v>7524.6207633005188</v>
      </c>
      <c r="N72" s="108">
        <v>9867.8089569433378</v>
      </c>
      <c r="O72" s="108">
        <v>15235.296745684645</v>
      </c>
      <c r="P72" s="108">
        <v>25947.810404831453</v>
      </c>
      <c r="Q72" s="108">
        <v>38337.040183499055</v>
      </c>
      <c r="R72" s="108">
        <f>SUM(sales_forecast_tbl[[#This Row],[Feb-25]:[Jan-26]])</f>
        <v>196875.92884839847</v>
      </c>
      <c r="S72" s="120">
        <f>sales_forecast_tbl[[#This Row],[Total]]/sales_forecast_tbl[[#Totals],[Total]]</f>
        <v>9.6257784665533495E-3</v>
      </c>
      <c r="Y72" s="57">
        <v>1.2491328328150897</v>
      </c>
    </row>
    <row r="73" spans="2:25" ht="15" customHeight="1" x14ac:dyDescent="0.25">
      <c r="B73" s="57" t="s">
        <v>185</v>
      </c>
      <c r="C73" s="65" t="s">
        <v>113</v>
      </c>
      <c r="D73" s="65" t="b" cm="1">
        <f t="array" ref="D73">_xlfn.XLOOKUP(sales_forecast_tbl[[#This Row],[Customer Name]],_xlfn.ANCHORARRAY(Assumptions!$C$34),Assumptions!$D$34:$D$107)</f>
        <v>1</v>
      </c>
      <c r="E73" s="108">
        <v>33209.230321272982</v>
      </c>
      <c r="F73" s="108">
        <v>35102.775889584707</v>
      </c>
      <c r="G73" s="108">
        <v>7080.1382431265574</v>
      </c>
      <c r="H73" s="109">
        <v>24071.993793270398</v>
      </c>
      <c r="I73" s="109">
        <v>13856.022667006426</v>
      </c>
      <c r="J73" s="108">
        <v>7901.854895898261</v>
      </c>
      <c r="K73" s="108">
        <v>8062.8271343008064</v>
      </c>
      <c r="L73" s="108">
        <v>5312.7555609270657</v>
      </c>
      <c r="M73" s="108">
        <v>7183.2790904166995</v>
      </c>
      <c r="N73" s="108">
        <v>9776.3676198029898</v>
      </c>
      <c r="O73" s="108">
        <v>15721.41810784498</v>
      </c>
      <c r="P73" s="108">
        <v>24936.893316779449</v>
      </c>
      <c r="Q73" s="108">
        <v>33431.438515383954</v>
      </c>
      <c r="R73" s="108">
        <f>SUM(sales_forecast_tbl[[#This Row],[Feb-25]:[Jan-26]])</f>
        <v>192437.76483434232</v>
      </c>
      <c r="S73" s="120">
        <f>sales_forecast_tbl[[#This Row],[Total]]/sales_forecast_tbl[[#Totals],[Total]]</f>
        <v>9.4087850339512856E-3</v>
      </c>
      <c r="Y73" s="57">
        <v>1.0066911576077278</v>
      </c>
    </row>
    <row r="74" spans="2:25" ht="15" customHeight="1" x14ac:dyDescent="0.25">
      <c r="B74" s="57" t="s">
        <v>186</v>
      </c>
      <c r="C74" s="65" t="s">
        <v>113</v>
      </c>
      <c r="D74" s="65" t="b" cm="1">
        <f t="array" ref="D74">_xlfn.XLOOKUP(sales_forecast_tbl[[#This Row],[Customer Name]],_xlfn.ANCHORARRAY(Assumptions!$C$34),Assumptions!$D$34:$D$107)</f>
        <v>1</v>
      </c>
      <c r="E74" s="108">
        <v>56321.902987820766</v>
      </c>
      <c r="F74" s="108">
        <v>55312.86187982549</v>
      </c>
      <c r="G74" s="108">
        <v>13484.648087303574</v>
      </c>
      <c r="H74" s="109">
        <v>35592.094404862823</v>
      </c>
      <c r="I74" s="109">
        <v>22840.290018524272</v>
      </c>
      <c r="J74" s="108">
        <v>12903.59989756602</v>
      </c>
      <c r="K74" s="108">
        <v>12116.523417455288</v>
      </c>
      <c r="L74" s="108">
        <v>8763.6956979517818</v>
      </c>
      <c r="M74" s="108">
        <v>12425.054297887851</v>
      </c>
      <c r="N74" s="108">
        <v>16039.00833021528</v>
      </c>
      <c r="O74" s="108">
        <v>23652.48310442776</v>
      </c>
      <c r="P74" s="108">
        <v>42469.615414815482</v>
      </c>
      <c r="Q74" s="108">
        <v>51673.609713168735</v>
      </c>
      <c r="R74" s="108">
        <f>SUM(sales_forecast_tbl[[#This Row],[Feb-25]:[Jan-26]])</f>
        <v>307273.48426400439</v>
      </c>
      <c r="S74" s="120">
        <f>sales_forecast_tbl[[#This Row],[Total]]/sales_forecast_tbl[[#Totals],[Total]]</f>
        <v>1.5023403345814021E-2</v>
      </c>
      <c r="Y74" s="57">
        <v>0.91746917223913416</v>
      </c>
    </row>
    <row r="75" spans="2:25" ht="15" customHeight="1" x14ac:dyDescent="0.25">
      <c r="B75" s="57" t="s">
        <v>187</v>
      </c>
      <c r="C75" s="65" t="s">
        <v>113</v>
      </c>
      <c r="D75" s="65" t="b" cm="1">
        <f t="array" ref="D75">_xlfn.XLOOKUP(sales_forecast_tbl[[#This Row],[Customer Name]],_xlfn.ANCHORARRAY(Assumptions!$C$34),Assumptions!$D$34:$D$107)</f>
        <v>1</v>
      </c>
      <c r="E75" s="108">
        <v>48739.087314100812</v>
      </c>
      <c r="F75" s="108">
        <v>60057.013882691179</v>
      </c>
      <c r="G75" s="108">
        <v>11400.457787346784</v>
      </c>
      <c r="H75" s="109">
        <v>34556.225677101218</v>
      </c>
      <c r="I75" s="109">
        <v>20641.438038371412</v>
      </c>
      <c r="J75" s="108">
        <v>12132.749850106806</v>
      </c>
      <c r="K75" s="108">
        <v>11867.051645666488</v>
      </c>
      <c r="L75" s="108">
        <v>8714.3470388703809</v>
      </c>
      <c r="M75" s="108">
        <v>12675.594931539797</v>
      </c>
      <c r="N75" s="108">
        <v>15568.331359280568</v>
      </c>
      <c r="O75" s="108">
        <v>25657.802315725843</v>
      </c>
      <c r="P75" s="108">
        <v>40842.552594369532</v>
      </c>
      <c r="Q75" s="108">
        <v>52271.298571913365</v>
      </c>
      <c r="R75" s="108">
        <f>SUM(sales_forecast_tbl[[#This Row],[Feb-25]:[Jan-26]])</f>
        <v>306384.86369298334</v>
      </c>
      <c r="S75" s="120">
        <f>sales_forecast_tbl[[#This Row],[Total]]/sales_forecast_tbl[[#Totals],[Total]]</f>
        <v>1.4979956364725452E-2</v>
      </c>
      <c r="Y75" s="57">
        <v>1.0724718383635108</v>
      </c>
    </row>
    <row r="76" spans="2:25" ht="15" customHeight="1" x14ac:dyDescent="0.25">
      <c r="B76" s="57" t="s">
        <v>188</v>
      </c>
      <c r="C76" s="65" t="s">
        <v>113</v>
      </c>
      <c r="D76" s="65" t="b" cm="1">
        <f t="array" ref="D76">_xlfn.XLOOKUP(sales_forecast_tbl[[#This Row],[Customer Name]],_xlfn.ANCHORARRAY(Assumptions!$C$34),Assumptions!$D$34:$D$107)</f>
        <v>1</v>
      </c>
      <c r="E76" s="108">
        <v>50854.04685287836</v>
      </c>
      <c r="F76" s="108">
        <v>56472.068545075555</v>
      </c>
      <c r="G76" s="108">
        <v>13255.470328369116</v>
      </c>
      <c r="H76" s="109">
        <v>34603.793396098277</v>
      </c>
      <c r="I76" s="109">
        <v>23369.836845541213</v>
      </c>
      <c r="J76" s="108">
        <v>13035.478460505581</v>
      </c>
      <c r="K76" s="108">
        <v>12994.95385392258</v>
      </c>
      <c r="L76" s="108">
        <v>9827.6717556871226</v>
      </c>
      <c r="M76" s="108">
        <v>13256.534059894331</v>
      </c>
      <c r="N76" s="108">
        <v>16807.980642937644</v>
      </c>
      <c r="O76" s="108">
        <v>25191.248062670566</v>
      </c>
      <c r="P76" s="108">
        <v>42091.221534529992</v>
      </c>
      <c r="Q76" s="108">
        <v>61429.74291108692</v>
      </c>
      <c r="R76" s="108">
        <f>SUM(sales_forecast_tbl[[#This Row],[Feb-25]:[Jan-26]])</f>
        <v>322336.00039631891</v>
      </c>
      <c r="S76" s="120">
        <f>sales_forecast_tbl[[#This Row],[Total]]/sales_forecast_tbl[[#Totals],[Total]]</f>
        <v>1.5759849107805535E-2</v>
      </c>
      <c r="Y76" s="57">
        <v>1.2079617397766638</v>
      </c>
    </row>
    <row r="77" spans="2:25" ht="15" customHeight="1" x14ac:dyDescent="0.25">
      <c r="B77" s="57" t="s">
        <v>189</v>
      </c>
      <c r="C77" s="65" t="s">
        <v>113</v>
      </c>
      <c r="D77" s="65" t="b" cm="1">
        <f t="array" ref="D77">_xlfn.XLOOKUP(sales_forecast_tbl[[#This Row],[Customer Name]],_xlfn.ANCHORARRAY(Assumptions!$C$34),Assumptions!$D$34:$D$107)</f>
        <v>1</v>
      </c>
      <c r="E77" s="108">
        <v>54034.927573111905</v>
      </c>
      <c r="F77" s="108">
        <v>59180.575011848123</v>
      </c>
      <c r="G77" s="108">
        <v>12405.44210298834</v>
      </c>
      <c r="H77" s="109">
        <v>36961.517988416235</v>
      </c>
      <c r="I77" s="109">
        <v>19989.741140654351</v>
      </c>
      <c r="J77" s="108">
        <v>11904.14204504597</v>
      </c>
      <c r="K77" s="108">
        <v>11215.451438161352</v>
      </c>
      <c r="L77" s="108">
        <v>8514.2810340655924</v>
      </c>
      <c r="M77" s="108">
        <v>12678.835434045606</v>
      </c>
      <c r="N77" s="108">
        <v>16230.252471622709</v>
      </c>
      <c r="O77" s="108">
        <v>24990.496816462059</v>
      </c>
      <c r="P77" s="108">
        <v>40941.641233323957</v>
      </c>
      <c r="Q77" s="108">
        <v>44048.140022117375</v>
      </c>
      <c r="R77" s="108">
        <f>SUM(sales_forecast_tbl[[#This Row],[Feb-25]:[Jan-26]])</f>
        <v>299060.51673875167</v>
      </c>
      <c r="S77" s="120">
        <f>sales_forecast_tbl[[#This Row],[Total]]/sales_forecast_tbl[[#Totals],[Total]]</f>
        <v>1.4621849908512117E-2</v>
      </c>
      <c r="Y77" s="57">
        <v>0.81517903327469221</v>
      </c>
    </row>
    <row r="78" spans="2:25" ht="15" customHeight="1" x14ac:dyDescent="0.25">
      <c r="B78" s="57" t="s">
        <v>190</v>
      </c>
      <c r="C78" s="65" t="s">
        <v>113</v>
      </c>
      <c r="D78" s="65" t="b" cm="1">
        <f t="array" ref="D78">_xlfn.XLOOKUP(sales_forecast_tbl[[#This Row],[Customer Name]],_xlfn.ANCHORARRAY(Assumptions!$C$34),Assumptions!$D$34:$D$107)</f>
        <v>1</v>
      </c>
      <c r="E78" s="108">
        <v>50221.252079451588</v>
      </c>
      <c r="F78" s="108">
        <v>57930.374986541327</v>
      </c>
      <c r="G78" s="108">
        <v>12672.710466888715</v>
      </c>
      <c r="H78" s="109">
        <v>34640.065645319213</v>
      </c>
      <c r="I78" s="109">
        <v>22910.272835882482</v>
      </c>
      <c r="J78" s="108">
        <v>12908.253333436513</v>
      </c>
      <c r="K78" s="108">
        <v>13199.444717267555</v>
      </c>
      <c r="L78" s="108">
        <v>9127.2100872044703</v>
      </c>
      <c r="M78" s="108">
        <v>13535.232640715933</v>
      </c>
      <c r="N78" s="108">
        <v>14530.370067791109</v>
      </c>
      <c r="O78" s="108">
        <v>26370.304283427777</v>
      </c>
      <c r="P78" s="108">
        <v>41984.012405057641</v>
      </c>
      <c r="Q78" s="108">
        <v>58354.209620255817</v>
      </c>
      <c r="R78" s="108">
        <f>SUM(sales_forecast_tbl[[#This Row],[Feb-25]:[Jan-26]])</f>
        <v>318162.46108978853</v>
      </c>
      <c r="S78" s="120">
        <f>sales_forecast_tbl[[#This Row],[Total]]/sales_forecast_tbl[[#Totals],[Total]]</f>
        <v>1.5555793868441817E-2</v>
      </c>
      <c r="Y78" s="57">
        <v>1.161942548304802</v>
      </c>
    </row>
    <row r="79" spans="2:25" ht="15" customHeight="1" x14ac:dyDescent="0.25">
      <c r="B79" s="57" t="s">
        <v>228</v>
      </c>
      <c r="C79" s="65" t="s">
        <v>114</v>
      </c>
      <c r="D79" s="65" t="b" cm="1">
        <f t="array" ref="D79">_xlfn.XLOOKUP(sales_forecast_tbl[[#This Row],[Customer Name]],_xlfn.ANCHORARRAY(Assumptions!$C$34),Assumptions!$D$34:$D$107)</f>
        <v>1</v>
      </c>
      <c r="E79" s="108">
        <v>600983.00275664288</v>
      </c>
      <c r="F79" s="108">
        <v>723218.78092304117</v>
      </c>
      <c r="G79" s="108">
        <v>135714.33099592844</v>
      </c>
      <c r="H79" s="109">
        <v>455846.1382361743</v>
      </c>
      <c r="I79" s="109">
        <v>251983.44625437239</v>
      </c>
      <c r="J79" s="108">
        <v>131812.18966871666</v>
      </c>
      <c r="K79" s="108">
        <v>150636.6326990102</v>
      </c>
      <c r="L79" s="108">
        <v>103984.52022929653</v>
      </c>
      <c r="M79" s="108">
        <v>144056.74708503642</v>
      </c>
      <c r="N79" s="108">
        <v>178458.43366787033</v>
      </c>
      <c r="O79" s="108">
        <v>300555.16128280293</v>
      </c>
      <c r="P79" s="108">
        <v>487067.21762534836</v>
      </c>
      <c r="Q79" s="108">
        <v>679471.92839535791</v>
      </c>
      <c r="R79" s="108">
        <f>SUM(sales_forecast_tbl[[#This Row],[Feb-25]:[Jan-26]])</f>
        <v>3742805.5270629553</v>
      </c>
      <c r="S79" s="120">
        <f>sales_forecast_tbl[[#This Row],[Total]]/sales_forecast_tbl[[#Totals],[Total]]</f>
        <v>0.1829955396662121</v>
      </c>
      <c r="Y79" s="57">
        <v>1.1306009076441346</v>
      </c>
    </row>
    <row r="80" spans="2:25" s="60" customFormat="1" ht="15" customHeight="1" x14ac:dyDescent="0.25">
      <c r="B80" s="57" t="s">
        <v>10</v>
      </c>
      <c r="C80" s="65"/>
      <c r="D80" s="65"/>
      <c r="E80" s="334">
        <f>SUBTOTAL(109,sales_forecast_tbl[Jan-25])</f>
        <v>3455459.6611710154</v>
      </c>
      <c r="F80" s="111">
        <f>SUBTOTAL(109,sales_forecast_tbl[Feb-25])</f>
        <v>4821599.3908253331</v>
      </c>
      <c r="G80" s="111">
        <f>SUBTOTAL(109,sales_forecast_tbl[Mar-25])</f>
        <v>627500.59469944471</v>
      </c>
      <c r="H80" s="111">
        <f>SUBTOTAL(109,sales_forecast_tbl[Apr-25])</f>
        <v>1853885.0475161041</v>
      </c>
      <c r="I80" s="111">
        <f>SUBTOTAL(109,sales_forecast_tbl[May-25])</f>
        <v>1083761.4673256832</v>
      </c>
      <c r="J80" s="111">
        <f>SUBTOTAL(109,sales_forecast_tbl[Jun-25])</f>
        <v>639222.19375646103</v>
      </c>
      <c r="K80" s="111">
        <f>SUBTOTAL(109,sales_forecast_tbl[Jul-25])</f>
        <v>645364.74204437889</v>
      </c>
      <c r="L80" s="111">
        <f>SUBTOTAL(109,sales_forecast_tbl[Aug-25])</f>
        <v>544310.92210383993</v>
      </c>
      <c r="M80" s="111">
        <f>SUBTOTAL(109,sales_forecast_tbl[Sep-25])</f>
        <v>1097387.86695088</v>
      </c>
      <c r="N80" s="111">
        <f>SUBTOTAL(109,sales_forecast_tbl[Oct-25])</f>
        <v>1253965.33847233</v>
      </c>
      <c r="O80" s="111">
        <f>SUBTOTAL(109,sales_forecast_tbl[Nov-25])</f>
        <v>1694424.8054746953</v>
      </c>
      <c r="P80" s="111">
        <f>SUBTOTAL(109,sales_forecast_tbl[Dec-25])</f>
        <v>2472035.5311193522</v>
      </c>
      <c r="Q80" s="111">
        <f>SUBTOTAL(109,sales_forecast_tbl[Jan-26])</f>
        <v>3719529.8276633131</v>
      </c>
      <c r="R80" s="111">
        <f>SUBTOTAL(109,sales_forecast_tbl[Total])</f>
        <v>20452987.727951813</v>
      </c>
      <c r="S80" s="120">
        <f>sales_forecast_tbl[[#Totals],[Total]]/sales_forecast_tbl[[#Totals],[Total]]</f>
        <v>1</v>
      </c>
    </row>
    <row r="81" spans="2:19" ht="15" customHeight="1" x14ac:dyDescent="0.25">
      <c r="B81" s="112" t="s">
        <v>262</v>
      </c>
      <c r="C81" s="60"/>
      <c r="D81" s="60"/>
      <c r="E81" s="113">
        <f>sales_forecast_tbl[[#Totals],[Jan-25]]/sales_forecast_tbl[[#Totals],[Total]]</f>
        <v>0.16894644964014993</v>
      </c>
      <c r="F81" s="113">
        <f>sales_forecast_tbl[[#Totals],[Feb-25]]/sales_forecast_tbl[[#Totals],[Total]]</f>
        <v>0.23574058983255322</v>
      </c>
      <c r="G81" s="113">
        <f>sales_forecast_tbl[[#Totals],[Mar-25]]/sales_forecast_tbl[[#Totals],[Total]]</f>
        <v>3.0680143314312906E-2</v>
      </c>
      <c r="H81" s="113">
        <f>sales_forecast_tbl[[#Totals],[Apr-25]]/sales_forecast_tbl[[#Totals],[Total]]</f>
        <v>9.0641282935036233E-2</v>
      </c>
      <c r="I81" s="113">
        <f>sales_forecast_tbl[[#Totals],[May-25]]/sales_forecast_tbl[[#Totals],[Total]]</f>
        <v>5.29879292815775E-2</v>
      </c>
      <c r="J81" s="113">
        <f>sales_forecast_tbl[[#Totals],[Jun-25]]/sales_forecast_tbl[[#Totals],[Total]]</f>
        <v>3.1253242912910775E-2</v>
      </c>
      <c r="K81" s="113">
        <f>sales_forecast_tbl[[#Totals],[Jul-25]]/sales_forecast_tbl[[#Totals],[Total]]</f>
        <v>3.1553568145078356E-2</v>
      </c>
      <c r="L81" s="113">
        <f>sales_forecast_tbl[[#Totals],[Aug-25]]/sales_forecast_tbl[[#Totals],[Total]]</f>
        <v>2.6612782902126538E-2</v>
      </c>
      <c r="M81" s="113">
        <f>sales_forecast_tbl[[#Totals],[Sep-25]]/sales_forecast_tbl[[#Totals],[Total]]</f>
        <v>5.3654159555923897E-2</v>
      </c>
      <c r="N81" s="113">
        <f>sales_forecast_tbl[[#Totals],[Oct-25]]/sales_forecast_tbl[[#Totals],[Total]]</f>
        <v>6.13096411708405E-2</v>
      </c>
      <c r="O81" s="113">
        <f>sales_forecast_tbl[[#Totals],[Nov-25]]/sales_forecast_tbl[[#Totals],[Total]]</f>
        <v>8.2844855138647117E-2</v>
      </c>
      <c r="P81" s="113">
        <f>sales_forecast_tbl[[#Totals],[Dec-25]]/sales_forecast_tbl[[#Totals],[Total]]</f>
        <v>0.12086427489226802</v>
      </c>
      <c r="Q81" s="113">
        <f>sales_forecast_tbl[[#Totals],[Jan-26]]/sales_forecast_tbl[[#Totals],[Total]]</f>
        <v>0.18185752991872506</v>
      </c>
      <c r="R81" s="113">
        <f>sales_forecast_tbl[[#Totals],[Total]]/sales_forecast_tbl[[#Totals],[Total]]</f>
        <v>1</v>
      </c>
    </row>
    <row r="82" spans="2:19" ht="15" customHeight="1" x14ac:dyDescent="0.25">
      <c r="B82" s="107"/>
      <c r="C82" s="60"/>
      <c r="D82" s="60"/>
      <c r="E82" s="60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</row>
    <row r="83" spans="2:19" ht="15" customHeight="1" x14ac:dyDescent="0.25">
      <c r="B83" s="121" t="s">
        <v>261</v>
      </c>
      <c r="C83" s="122"/>
      <c r="D83" s="122"/>
      <c r="E83" s="123">
        <v>45682</v>
      </c>
      <c r="F83" s="123" t="s">
        <v>232</v>
      </c>
      <c r="G83" s="123" t="s">
        <v>233</v>
      </c>
      <c r="H83" s="123" t="s">
        <v>234</v>
      </c>
      <c r="I83" s="123" t="s">
        <v>235</v>
      </c>
      <c r="J83" s="123" t="s">
        <v>236</v>
      </c>
      <c r="K83" s="123" t="s">
        <v>237</v>
      </c>
      <c r="L83" s="123" t="s">
        <v>238</v>
      </c>
      <c r="M83" s="123" t="s">
        <v>239</v>
      </c>
      <c r="N83" s="123" t="s">
        <v>240</v>
      </c>
      <c r="O83" s="123" t="s">
        <v>241</v>
      </c>
      <c r="P83" s="123" t="s">
        <v>242</v>
      </c>
      <c r="Q83" s="123">
        <v>45683</v>
      </c>
      <c r="R83" s="124" t="s">
        <v>10</v>
      </c>
    </row>
    <row r="84" spans="2:19" ht="15" customHeight="1" x14ac:dyDescent="0.25">
      <c r="B84" s="57" t="str" cm="1">
        <f t="array" ref="B84:B86">_xlfn.UNIQUE(sales_forecast_tbl[Category])</f>
        <v>Corporate</v>
      </c>
      <c r="C84" s="59"/>
      <c r="D84" s="59"/>
      <c r="E84" s="93" cm="1">
        <f t="array" ref="E84:E86">SUMIFS(sales_forecast_tbl[Jan-25],sales_forecast_tbl[Category],_xlfn.ANCHORARRAY($B$84))</f>
        <v>2264527</v>
      </c>
      <c r="F84" s="93" cm="1">
        <f t="array" ref="F84:F86">SUMIFS(sales_forecast_tbl[Feb-25],sales_forecast_tbl[Category],_xlfn.ANCHORARRAY($B$84))</f>
        <v>3434431</v>
      </c>
      <c r="G84" s="93" cm="1">
        <f t="array" ref="G84:G86">SUMIFS(sales_forecast_tbl[Mar-25],sales_forecast_tbl[Category],_xlfn.ANCHORARRAY($B$84))</f>
        <v>348971</v>
      </c>
      <c r="H84" s="93" cm="1">
        <f t="array" ref="H84:H86">SUMIFS(sales_forecast_tbl[Apr-25],sales_forecast_tbl[Category],_xlfn.ANCHORARRAY($B$84))</f>
        <v>982599</v>
      </c>
      <c r="I84" s="93" cm="1">
        <f t="array" ref="I84:I86">SUMIFS(sales_forecast_tbl[May-25],sales_forecast_tbl[Category],_xlfn.ANCHORARRAY($B$84))</f>
        <v>581130</v>
      </c>
      <c r="J84" s="93" cm="1">
        <f t="array" ref="J84:J86">SUMIFS(sales_forecast_tbl[Jun-25],sales_forecast_tbl[Category],_xlfn.ANCHORARRAY($B$84))</f>
        <v>365450</v>
      </c>
      <c r="K84" s="93" cm="1">
        <f t="array" ref="K84:K86">SUMIFS(sales_forecast_tbl[Jul-25],sales_forecast_tbl[Category],_xlfn.ANCHORARRAY($B$84))</f>
        <v>355310</v>
      </c>
      <c r="L84" s="93" cm="1">
        <f t="array" ref="L84:L86">SUMIFS(sales_forecast_tbl[Aug-25],sales_forecast_tbl[Category],_xlfn.ANCHORARRAY($B$84))</f>
        <v>335687</v>
      </c>
      <c r="M84" s="93" cm="1">
        <f t="array" ref="M84:M86">SUMIFS(sales_forecast_tbl[Sep-25],sales_forecast_tbl[Category],_xlfn.ANCHORARRAY($B$84))</f>
        <v>810929</v>
      </c>
      <c r="N84" s="93" cm="1">
        <f t="array" ref="N84:N86">SUMIFS(sales_forecast_tbl[Oct-25],sales_forecast_tbl[Category],_xlfn.ANCHORARRAY($B$84))</f>
        <v>896960</v>
      </c>
      <c r="O84" s="93" cm="1">
        <f t="array" ref="O84:O86">SUMIFS(sales_forecast_tbl[Nov-25],sales_forecast_tbl[Category],_xlfn.ANCHORARRAY($B$84))</f>
        <v>1111650</v>
      </c>
      <c r="P84" s="93" cm="1">
        <f t="array" ref="P84:P86">SUMIFS(sales_forecast_tbl[Dec-25],sales_forecast_tbl[Category],_xlfn.ANCHORARRAY($B$84))</f>
        <v>1515975</v>
      </c>
      <c r="Q84" s="93" cm="1">
        <f t="array" ref="Q84:Q86">SUMIFS(sales_forecast_tbl[Jan-26],sales_forecast_tbl[Category],_xlfn.ANCHORARRAY($B$84))</f>
        <v>2432827.5254604365</v>
      </c>
      <c r="R84" s="93" cm="1">
        <f t="array" ref="R84:R86">SUMIFS(sales_forecast_tbl[Total],sales_forecast_tbl[Category],_xlfn.ANCHORARRAY($B$84))</f>
        <v>13171919.525460437</v>
      </c>
      <c r="S84" s="120">
        <f>R84/R$87</f>
        <v>0.64400955501768586</v>
      </c>
    </row>
    <row r="85" spans="2:19" ht="15" customHeight="1" x14ac:dyDescent="0.25">
      <c r="B85" s="57" t="str">
        <v>Retail</v>
      </c>
      <c r="E85" s="93">
        <v>589949.65841437329</v>
      </c>
      <c r="F85" s="93">
        <v>663949.60990229144</v>
      </c>
      <c r="G85" s="93">
        <v>142815.26370351616</v>
      </c>
      <c r="H85" s="93">
        <v>415439.90927993011</v>
      </c>
      <c r="I85" s="93">
        <v>250648.02107131085</v>
      </c>
      <c r="J85" s="93">
        <v>141960.00408774437</v>
      </c>
      <c r="K85" s="93">
        <v>139418.10934536866</v>
      </c>
      <c r="L85" s="93">
        <v>104639.40187454317</v>
      </c>
      <c r="M85" s="93">
        <v>142402.11986584342</v>
      </c>
      <c r="N85" s="93">
        <v>178546.90480446018</v>
      </c>
      <c r="O85" s="93">
        <v>282219.64419189194</v>
      </c>
      <c r="P85" s="93">
        <v>468993.31349400384</v>
      </c>
      <c r="Q85" s="93">
        <v>607230.37380751781</v>
      </c>
      <c r="R85" s="93">
        <v>3538262.6754284217</v>
      </c>
      <c r="S85" s="120">
        <f>R85/R$87</f>
        <v>0.17299490531610207</v>
      </c>
    </row>
    <row r="86" spans="2:19" ht="15" customHeight="1" x14ac:dyDescent="0.25">
      <c r="B86" s="57" t="str">
        <v>eCommerce</v>
      </c>
      <c r="E86" s="114">
        <v>600983.00275664288</v>
      </c>
      <c r="F86" s="114">
        <v>723218.78092304117</v>
      </c>
      <c r="G86" s="114">
        <v>135714.33099592844</v>
      </c>
      <c r="H86" s="114">
        <v>455846.1382361743</v>
      </c>
      <c r="I86" s="114">
        <v>251983.44625437239</v>
      </c>
      <c r="J86" s="114">
        <v>131812.18966871666</v>
      </c>
      <c r="K86" s="114">
        <v>150636.6326990102</v>
      </c>
      <c r="L86" s="114">
        <v>103984.52022929653</v>
      </c>
      <c r="M86" s="114">
        <v>144056.74708503642</v>
      </c>
      <c r="N86" s="114">
        <v>178458.43366787033</v>
      </c>
      <c r="O86" s="114">
        <v>300555.16128280293</v>
      </c>
      <c r="P86" s="114">
        <v>487067.21762534836</v>
      </c>
      <c r="Q86" s="114">
        <v>679471.92839535791</v>
      </c>
      <c r="R86" s="114">
        <v>3742805.5270629553</v>
      </c>
      <c r="S86" s="120">
        <f>R86/R$87</f>
        <v>0.1829955396662121</v>
      </c>
    </row>
    <row r="87" spans="2:19" ht="15" customHeight="1" x14ac:dyDescent="0.25">
      <c r="B87" s="60" t="s">
        <v>10</v>
      </c>
      <c r="E87" s="69">
        <f t="shared" ref="E87" si="0">SUM(_xlfn.ANCHORARRAY(E84))</f>
        <v>3455459.6611710163</v>
      </c>
      <c r="F87" s="69">
        <f t="shared" ref="F87:R87" si="1">SUM(_xlfn.ANCHORARRAY(F84))</f>
        <v>4821599.3908253331</v>
      </c>
      <c r="G87" s="69">
        <f t="shared" si="1"/>
        <v>627500.5946994446</v>
      </c>
      <c r="H87" s="69">
        <f t="shared" si="1"/>
        <v>1853885.0475161045</v>
      </c>
      <c r="I87" s="69">
        <f t="shared" si="1"/>
        <v>1083761.4673256832</v>
      </c>
      <c r="J87" s="69">
        <f t="shared" si="1"/>
        <v>639222.19375646103</v>
      </c>
      <c r="K87" s="69">
        <f t="shared" si="1"/>
        <v>645364.74204437889</v>
      </c>
      <c r="L87" s="69">
        <f t="shared" si="1"/>
        <v>544310.92210383969</v>
      </c>
      <c r="M87" s="69">
        <f t="shared" si="1"/>
        <v>1097387.8669508798</v>
      </c>
      <c r="N87" s="69">
        <f t="shared" si="1"/>
        <v>1253965.3384723305</v>
      </c>
      <c r="O87" s="69">
        <f t="shared" si="1"/>
        <v>1694424.8054746948</v>
      </c>
      <c r="P87" s="69">
        <f t="shared" si="1"/>
        <v>2472035.5311193522</v>
      </c>
      <c r="Q87" s="69">
        <f t="shared" ref="Q87" si="2">SUM(_xlfn.ANCHORARRAY(Q84))</f>
        <v>3719529.8276633122</v>
      </c>
      <c r="R87" s="69">
        <f t="shared" si="1"/>
        <v>20452987.727951813</v>
      </c>
      <c r="S87" s="120">
        <f>R87/R$87</f>
        <v>1</v>
      </c>
    </row>
    <row r="88" spans="2:19" ht="15" customHeight="1" x14ac:dyDescent="0.25">
      <c r="B88" s="112" t="s">
        <v>262</v>
      </c>
      <c r="E88" s="110">
        <f t="shared" ref="E88:P88" si="3">E87/$R$87</f>
        <v>0.16894644964014996</v>
      </c>
      <c r="F88" s="110">
        <f t="shared" si="3"/>
        <v>0.23574058983255322</v>
      </c>
      <c r="G88" s="110">
        <f t="shared" si="3"/>
        <v>3.0680143314312899E-2</v>
      </c>
      <c r="H88" s="110">
        <f t="shared" si="3"/>
        <v>9.0641282935036246E-2</v>
      </c>
      <c r="I88" s="110">
        <f t="shared" si="3"/>
        <v>5.29879292815775E-2</v>
      </c>
      <c r="J88" s="110">
        <f t="shared" si="3"/>
        <v>3.1253242912910775E-2</v>
      </c>
      <c r="K88" s="110">
        <f t="shared" si="3"/>
        <v>3.1553568145078356E-2</v>
      </c>
      <c r="L88" s="110">
        <f t="shared" si="3"/>
        <v>2.6612782902126528E-2</v>
      </c>
      <c r="M88" s="110">
        <f t="shared" si="3"/>
        <v>5.365415955592389E-2</v>
      </c>
      <c r="N88" s="110">
        <f t="shared" si="3"/>
        <v>6.130964117084052E-2</v>
      </c>
      <c r="O88" s="110">
        <f t="shared" si="3"/>
        <v>8.2844855138647103E-2</v>
      </c>
      <c r="P88" s="110">
        <f t="shared" si="3"/>
        <v>0.12086427489226802</v>
      </c>
      <c r="Q88" s="110">
        <f t="shared" ref="Q88" si="4">Q87/$R$87</f>
        <v>0.181857529918725</v>
      </c>
      <c r="R88" s="110">
        <f>R87/$R$87</f>
        <v>1</v>
      </c>
      <c r="S88" s="120"/>
    </row>
  </sheetData>
  <phoneticPr fontId="18" type="noConversion"/>
  <pageMargins left="0.7" right="0.7" top="0.75" bottom="0.75" header="0.3" footer="0.3"/>
  <ignoredErrors>
    <ignoredError sqref="R6:R79" calculatedColumn="1"/>
  </ignoredErrors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3C6EB-F924-446B-AC5D-202A105A4BA4}">
  <sheetPr codeName="Sheet7">
    <tabColor theme="4" tint="0.39997558519241921"/>
  </sheetPr>
  <dimension ref="B1:AR47"/>
  <sheetViews>
    <sheetView showGridLines="0" zoomScale="75" zoomScaleNormal="75" workbookViewId="0">
      <pane ySplit="5" topLeftCell="A6" activePane="bottomLeft" state="frozen"/>
      <selection activeCell="A3" sqref="A3:XFD3"/>
      <selection pane="bottomLeft" activeCell="C6" sqref="C6"/>
    </sheetView>
  </sheetViews>
  <sheetFormatPr defaultColWidth="23.42578125" defaultRowHeight="12.6" customHeight="1" x14ac:dyDescent="0.25"/>
  <cols>
    <col min="1" max="1" width="3.85546875" customWidth="1"/>
    <col min="2" max="2" width="19.28515625" style="22" customWidth="1"/>
    <col min="6" max="6" width="15.42578125" style="22" customWidth="1"/>
    <col min="7" max="7" width="13.85546875" customWidth="1"/>
    <col min="8" max="8" width="11.28515625" customWidth="1"/>
  </cols>
  <sheetData>
    <row r="1" spans="2:44" ht="21" customHeight="1" x14ac:dyDescent="0.3">
      <c r="B1" s="17" t="str" cm="1">
        <f t="array" ref="B1">Company_Name</f>
        <v>Pinnacle Supplier DBA Candy Confection</v>
      </c>
      <c r="AE1" s="43"/>
    </row>
    <row r="2" spans="2:44" ht="16.5" customHeight="1" x14ac:dyDescent="0.25">
      <c r="B2" s="1" t="s">
        <v>384</v>
      </c>
      <c r="AE2" s="43"/>
    </row>
    <row r="3" spans="2:44" ht="16.5" customHeight="1" x14ac:dyDescent="0.25">
      <c r="B3" s="4" t="s">
        <v>243</v>
      </c>
    </row>
    <row r="4" spans="2:44" ht="12.4" customHeight="1" x14ac:dyDescent="0.25">
      <c r="P4" s="262" t="s">
        <v>375</v>
      </c>
      <c r="Q4" s="263"/>
      <c r="R4" s="263"/>
      <c r="S4" s="263"/>
      <c r="T4" s="263"/>
      <c r="U4" s="263"/>
      <c r="V4" s="263"/>
      <c r="W4" s="263"/>
      <c r="X4" s="263"/>
      <c r="Y4" s="263"/>
      <c r="Z4" s="263"/>
      <c r="AA4" s="263"/>
      <c r="AB4" s="264"/>
      <c r="AC4" s="264"/>
      <c r="AE4" s="270" t="s">
        <v>376</v>
      </c>
      <c r="AF4" s="271"/>
      <c r="AG4" s="271"/>
      <c r="AH4" s="271"/>
      <c r="AI4" s="271"/>
      <c r="AJ4" s="271"/>
      <c r="AK4" s="271"/>
      <c r="AL4" s="271"/>
      <c r="AM4" s="271"/>
      <c r="AN4" s="271"/>
      <c r="AO4" s="271"/>
      <c r="AP4" s="271"/>
      <c r="AQ4" s="272"/>
      <c r="AR4" s="272"/>
    </row>
    <row r="5" spans="2:44" ht="12.6" customHeight="1" x14ac:dyDescent="0.25">
      <c r="B5" s="83" t="s">
        <v>85</v>
      </c>
      <c r="C5" s="84" t="s">
        <v>86</v>
      </c>
      <c r="D5" s="84" t="s">
        <v>87</v>
      </c>
      <c r="E5" s="84" t="s">
        <v>88</v>
      </c>
      <c r="F5" s="83" t="s">
        <v>378</v>
      </c>
      <c r="G5" s="83" t="s">
        <v>89</v>
      </c>
      <c r="H5" s="83" t="s">
        <v>90</v>
      </c>
      <c r="I5" s="85" t="s">
        <v>31</v>
      </c>
      <c r="J5" s="85" t="s">
        <v>32</v>
      </c>
      <c r="K5" s="85" t="s">
        <v>82</v>
      </c>
      <c r="L5" s="85" t="s">
        <v>83</v>
      </c>
      <c r="M5" s="85" t="s">
        <v>81</v>
      </c>
      <c r="N5" s="83" t="s">
        <v>84</v>
      </c>
      <c r="O5" s="265" t="s">
        <v>103</v>
      </c>
      <c r="P5" s="86" t="s">
        <v>91</v>
      </c>
      <c r="Q5" s="86" t="s">
        <v>92</v>
      </c>
      <c r="R5" s="86" t="s">
        <v>93</v>
      </c>
      <c r="S5" s="86" t="s">
        <v>101</v>
      </c>
      <c r="T5" s="86" t="s">
        <v>94</v>
      </c>
      <c r="U5" s="86" t="s">
        <v>102</v>
      </c>
      <c r="V5" s="86" t="s">
        <v>95</v>
      </c>
      <c r="W5" s="86" t="s">
        <v>96</v>
      </c>
      <c r="X5" s="86" t="s">
        <v>97</v>
      </c>
      <c r="Y5" s="86" t="s">
        <v>98</v>
      </c>
      <c r="Z5" s="86" t="s">
        <v>99</v>
      </c>
      <c r="AA5" s="86" t="s">
        <v>100</v>
      </c>
      <c r="AB5" s="336" t="s">
        <v>437</v>
      </c>
      <c r="AC5" s="86" t="s">
        <v>379</v>
      </c>
      <c r="AE5" s="273" t="s">
        <v>91</v>
      </c>
      <c r="AF5" s="217" t="s">
        <v>92</v>
      </c>
      <c r="AG5" s="217" t="s">
        <v>93</v>
      </c>
      <c r="AH5" s="217" t="s">
        <v>101</v>
      </c>
      <c r="AI5" s="217" t="s">
        <v>94</v>
      </c>
      <c r="AJ5" s="217" t="s">
        <v>102</v>
      </c>
      <c r="AK5" s="217" t="s">
        <v>95</v>
      </c>
      <c r="AL5" s="217" t="s">
        <v>96</v>
      </c>
      <c r="AM5" s="217" t="s">
        <v>97</v>
      </c>
      <c r="AN5" s="217" t="s">
        <v>98</v>
      </c>
      <c r="AO5" s="217" t="s">
        <v>99</v>
      </c>
      <c r="AP5" s="217" t="s">
        <v>100</v>
      </c>
      <c r="AQ5" s="336" t="s">
        <v>437</v>
      </c>
      <c r="AR5" s="217" t="s">
        <v>380</v>
      </c>
    </row>
    <row r="6" spans="2:44" ht="12.6" customHeight="1" x14ac:dyDescent="0.25">
      <c r="B6" s="5">
        <v>1000</v>
      </c>
      <c r="C6" s="4" t="s">
        <v>111</v>
      </c>
      <c r="D6" s="4" t="s">
        <v>59</v>
      </c>
      <c r="E6" s="4" t="s">
        <v>60</v>
      </c>
      <c r="F6" s="297" t="b">
        <v>1</v>
      </c>
      <c r="G6" s="6">
        <v>44348</v>
      </c>
      <c r="H6" s="6"/>
      <c r="I6" s="87">
        <v>285000</v>
      </c>
      <c r="J6" s="87">
        <f>payroll_schedule_tbl[[#This Row],[Salary]]*Salary_Deductions</f>
        <v>2850</v>
      </c>
      <c r="K6" s="87">
        <f>payroll_schedule_tbl[[#This Row],[Salary]]-payroll_schedule_tbl[[#This Row],[Deductions]]</f>
        <v>282150</v>
      </c>
      <c r="L6" s="87">
        <f>payroll_schedule_tbl[[#This Row],[Net_Salary]]*Bonus_Percentage</f>
        <v>42322.5</v>
      </c>
      <c r="M6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42322.5</v>
      </c>
      <c r="N6" s="297" t="b">
        <v>1</v>
      </c>
      <c r="O6" s="88">
        <f>IFERROR(MIN(Bonus_Month*payroll_schedule_tbl[[#This Row],[Pay_Bonus?]], _xlfn.XMATCH(1, P6:AA6,1,-1)) * payroll_schedule_tbl[[#This Row],[Pay_Bonus?]], 0)</f>
        <v>12</v>
      </c>
      <c r="P6" s="266">
        <f>_xlfn.LET(
    _xlpm.MONTH_START, DATE(2025, COLUMN(P6)-COLUMN($P6)+1,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Q6" s="89">
        <f>_xlfn.LET(
    _xlpm.MONTH_START, DATE(2025, COLUMN(Q6)-COLUMN($P6)+1,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R6" s="89">
        <f>_xlfn.LET(
    _xlpm.MONTH_START, DATE(2025, COLUMN(R6)-COLUMN($P6)+1,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S6" s="89">
        <f>_xlfn.LET(
    _xlpm.MONTH_START, DATE(2025, COLUMN(S6)-COLUMN($P6)+1,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T6" s="89">
        <f>_xlfn.LET(
    _xlpm.MONTH_START, DATE(2025, COLUMN(T6)-COLUMN($P6)+1,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U6" s="89">
        <f>_xlfn.LET(
    _xlpm.MONTH_START, DATE(2025, COLUMN(U6)-COLUMN($P6)+1,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V6" s="89">
        <f>_xlfn.LET(
    _xlpm.MONTH_START, DATE(2025, COLUMN(V6)-COLUMN($P6)+1,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W6" s="89">
        <f>_xlfn.LET(
    _xlpm.MONTH_START, DATE(2025, COLUMN(W6)-COLUMN($P6)+1,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X6" s="89">
        <f>_xlfn.LET(
    _xlpm.MONTH_START, DATE(2025, COLUMN(X6)-COLUMN($P6)+1,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Y6" s="89">
        <f>_xlfn.LET(
    _xlpm.MONTH_START, DATE(2025, COLUMN(Y6)-COLUMN($P6)+1,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Z6" s="89">
        <f>_xlfn.LET(
    _xlpm.MONTH_START, DATE(2025, COLUMN(Z6)-COLUMN($P6)+1,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AA6" s="89">
        <f>_xlfn.LET(
    _xlpm.MONTH_START, DATE(2025, COLUMN(AA6)-COLUMN($P6)+1,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AB6" s="89">
        <f>_xlfn.LET(
    _xlpm.MONTH_START, DATE(2025, COLUMN(AB6)-COLUMN($P6)+1,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23512.5</v>
      </c>
      <c r="AC6" s="268">
        <f>SUM(payroll_schedule_tbl[[#This Row],[1/31/2025]:[12/31/2025]])</f>
        <v>282150</v>
      </c>
      <c r="AE6" s="274" cm="1">
        <f t="array" ref="AE6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F6" s="216" cm="1">
        <f t="array" ref="AF6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G6" s="216" cm="1">
        <f t="array" ref="AG6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H6" s="216" cm="1">
        <f t="array" ref="AH6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I6" s="216" cm="1">
        <f t="array" ref="AI6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J6" s="216" cm="1">
        <f t="array" ref="AJ6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K6" s="216" cm="1">
        <f t="array" ref="AK6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L6" s="216" cm="1">
        <f t="array" ref="AL6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M6" s="216" cm="1">
        <f t="array" ref="AM6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N6" s="216" cm="1">
        <f t="array" ref="AN6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O6" s="216" cm="1">
        <f t="array" ref="AO6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P6" s="216" cm="1">
        <f t="array" ref="AP6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3526.875</v>
      </c>
      <c r="AQ6" s="216" cm="1">
        <f t="array" ref="AQ6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3526.875</v>
      </c>
      <c r="AR6" s="278">
        <f>SUM(bonus_accrual_forecast_tbl[[#This Row],[1/31/2025]:[12/31/2025]])</f>
        <v>42322.5</v>
      </c>
    </row>
    <row r="7" spans="2:44" ht="12.6" customHeight="1" x14ac:dyDescent="0.25">
      <c r="B7" s="5">
        <f>B6+1</f>
        <v>1001</v>
      </c>
      <c r="C7" s="4" t="s">
        <v>46</v>
      </c>
      <c r="D7" s="4" t="s">
        <v>47</v>
      </c>
      <c r="E7" s="4" t="s">
        <v>38</v>
      </c>
      <c r="F7" s="297" t="b">
        <v>1</v>
      </c>
      <c r="G7" s="6">
        <v>44348</v>
      </c>
      <c r="H7" s="6">
        <v>45199</v>
      </c>
      <c r="I7" s="87">
        <v>98000</v>
      </c>
      <c r="J7" s="87">
        <f>payroll_schedule_tbl[[#This Row],[Salary]]*Salary_Deductions</f>
        <v>980</v>
      </c>
      <c r="K7" s="87">
        <f>payroll_schedule_tbl[[#This Row],[Salary]]-payroll_schedule_tbl[[#This Row],[Deductions]]</f>
        <v>97020</v>
      </c>
      <c r="L7" s="87">
        <f>payroll_schedule_tbl[[#This Row],[Net_Salary]]*Bonus_Percentage</f>
        <v>14553</v>
      </c>
      <c r="M7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0</v>
      </c>
      <c r="N7" s="297" t="b">
        <v>0</v>
      </c>
      <c r="O7" s="88">
        <f>IFERROR(MIN(Bonus_Month*payroll_schedule_tbl[[#This Row],[Pay_Bonus?]], _xlfn.XMATCH(1, P7:AA7,1,-1)) * payroll_schedule_tbl[[#This Row],[Pay_Bonus?]], 0)</f>
        <v>0</v>
      </c>
      <c r="P7" s="266">
        <f>_xlfn.LET(
    _xlpm.MONTH_START, DATE(2025, COLUMN(P7)-COLUMN($P7)+1,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7" s="89">
        <f>_xlfn.LET(
    _xlpm.MONTH_START, DATE(2025, COLUMN(Q7)-COLUMN($P7)+1,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7" s="89">
        <f>_xlfn.LET(
    _xlpm.MONTH_START, DATE(2025, COLUMN(R7)-COLUMN($P7)+1,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7" s="89">
        <f>_xlfn.LET(
    _xlpm.MONTH_START, DATE(2025, COLUMN(S7)-COLUMN($P7)+1,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7" s="89">
        <f>_xlfn.LET(
    _xlpm.MONTH_START, DATE(2025, COLUMN(T7)-COLUMN($P7)+1,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7" s="89">
        <f>_xlfn.LET(
    _xlpm.MONTH_START, DATE(2025, COLUMN(U7)-COLUMN($P7)+1,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7" s="89">
        <f>_xlfn.LET(
    _xlpm.MONTH_START, DATE(2025, COLUMN(V7)-COLUMN($P7)+1,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7" s="89">
        <f>_xlfn.LET(
    _xlpm.MONTH_START, DATE(2025, COLUMN(W7)-COLUMN($P7)+1,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X7" s="89">
        <f>_xlfn.LET(
    _xlpm.MONTH_START, DATE(2025, COLUMN(X7)-COLUMN($P7)+1,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Y7" s="89">
        <f>_xlfn.LET(
    _xlpm.MONTH_START, DATE(2025, COLUMN(Y7)-COLUMN($P7)+1,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Z7" s="89">
        <f>_xlfn.LET(
    _xlpm.MONTH_START, DATE(2025, COLUMN(Z7)-COLUMN($P7)+1,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A7" s="89">
        <f>_xlfn.LET(
    _xlpm.MONTH_START, DATE(2025, COLUMN(AA7)-COLUMN($P7)+1,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B7" s="89">
        <f>_xlfn.LET(
    _xlpm.MONTH_START, DATE(2025, COLUMN(AB7)-COLUMN($P7)+1,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C7" s="268">
        <f>SUM(payroll_schedule_tbl[[#This Row],[1/31/2025]:[12/31/2025]])</f>
        <v>0</v>
      </c>
      <c r="AE7" s="275" cm="1">
        <f t="array" ref="AE7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7" s="215" cm="1">
        <f t="array" ref="AF7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7" s="215" cm="1">
        <f t="array" ref="AG7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7" s="215" cm="1">
        <f t="array" ref="AH7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7" s="215" cm="1">
        <f t="array" ref="AI7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7" s="215" cm="1">
        <f t="array" ref="AJ7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7" s="215" cm="1">
        <f t="array" ref="AK7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7" s="215" cm="1">
        <f t="array" ref="AL7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M7" s="215" cm="1">
        <f t="array" ref="AM7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N7" s="215" cm="1">
        <f t="array" ref="AN7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O7" s="215" cm="1">
        <f t="array" ref="AO7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P7" s="215" cm="1">
        <f t="array" ref="AP7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Q7" s="215" cm="1">
        <f t="array" ref="AQ7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0</v>
      </c>
      <c r="AR7" s="279">
        <f>SUM(bonus_accrual_forecast_tbl[[#This Row],[1/31/2025]:[12/31/2025]])</f>
        <v>0</v>
      </c>
    </row>
    <row r="8" spans="2:44" ht="12.6" customHeight="1" x14ac:dyDescent="0.25">
      <c r="B8" s="5">
        <f t="shared" ref="B8:B40" si="0">B7+1</f>
        <v>1002</v>
      </c>
      <c r="C8" s="4" t="s">
        <v>135</v>
      </c>
      <c r="D8" s="4" t="s">
        <v>118</v>
      </c>
      <c r="E8" s="4" t="s">
        <v>119</v>
      </c>
      <c r="F8" s="297" t="b">
        <v>1</v>
      </c>
      <c r="G8" s="6">
        <v>44409</v>
      </c>
      <c r="H8" s="6"/>
      <c r="I8" s="87">
        <v>75000</v>
      </c>
      <c r="J8" s="87">
        <f>payroll_schedule_tbl[[#This Row],[Salary]]*Salary_Deductions</f>
        <v>750</v>
      </c>
      <c r="K8" s="87">
        <f>payroll_schedule_tbl[[#This Row],[Salary]]-payroll_schedule_tbl[[#This Row],[Deductions]]</f>
        <v>74250</v>
      </c>
      <c r="L8" s="87">
        <f>payroll_schedule_tbl[[#This Row],[Net_Salary]]*Bonus_Percentage</f>
        <v>11137.5</v>
      </c>
      <c r="M8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11137.5</v>
      </c>
      <c r="N8" s="297" t="b">
        <v>1</v>
      </c>
      <c r="O8" s="88">
        <f>IFERROR(MIN(Bonus_Month*payroll_schedule_tbl[[#This Row],[Pay_Bonus?]], _xlfn.XMATCH(1, P8:AA8,1,-1)) * payroll_schedule_tbl[[#This Row],[Pay_Bonus?]], 0)</f>
        <v>12</v>
      </c>
      <c r="P8" s="266">
        <f>_xlfn.LET(
    _xlpm.MONTH_START, DATE(2025, COLUMN(P8)-COLUMN($P8)+1,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Q8" s="89">
        <f>_xlfn.LET(
    _xlpm.MONTH_START, DATE(2025, COLUMN(Q8)-COLUMN($P8)+1,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R8" s="89">
        <f>_xlfn.LET(
    _xlpm.MONTH_START, DATE(2025, COLUMN(R8)-COLUMN($P8)+1,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S8" s="89">
        <f>_xlfn.LET(
    _xlpm.MONTH_START, DATE(2025, COLUMN(S8)-COLUMN($P8)+1,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T8" s="89">
        <f>_xlfn.LET(
    _xlpm.MONTH_START, DATE(2025, COLUMN(T8)-COLUMN($P8)+1,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U8" s="89">
        <f>_xlfn.LET(
    _xlpm.MONTH_START, DATE(2025, COLUMN(U8)-COLUMN($P8)+1,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V8" s="89">
        <f>_xlfn.LET(
    _xlpm.MONTH_START, DATE(2025, COLUMN(V8)-COLUMN($P8)+1,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W8" s="89">
        <f>_xlfn.LET(
    _xlpm.MONTH_START, DATE(2025, COLUMN(W8)-COLUMN($P8)+1,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X8" s="89">
        <f>_xlfn.LET(
    _xlpm.MONTH_START, DATE(2025, COLUMN(X8)-COLUMN($P8)+1,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Y8" s="89">
        <f>_xlfn.LET(
    _xlpm.MONTH_START, DATE(2025, COLUMN(Y8)-COLUMN($P8)+1,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Z8" s="89">
        <f>_xlfn.LET(
    _xlpm.MONTH_START, DATE(2025, COLUMN(Z8)-COLUMN($P8)+1,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A8" s="89">
        <f>_xlfn.LET(
    _xlpm.MONTH_START, DATE(2025, COLUMN(AA8)-COLUMN($P8)+1,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B8" s="89">
        <f>_xlfn.LET(
    _xlpm.MONTH_START, DATE(2025, COLUMN(AB8)-COLUMN($P8)+1,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C8" s="268">
        <f>SUM(payroll_schedule_tbl[[#This Row],[1/31/2025]:[12/31/2025]])</f>
        <v>74250</v>
      </c>
      <c r="AE8" s="276" cm="1">
        <f t="array" ref="AE8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F8" s="214" cm="1">
        <f t="array" ref="AF8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G8" s="214" cm="1">
        <f t="array" ref="AG8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H8" s="214" cm="1">
        <f t="array" ref="AH8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I8" s="214" cm="1">
        <f t="array" ref="AI8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J8" s="214" cm="1">
        <f t="array" ref="AJ8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K8" s="214" cm="1">
        <f t="array" ref="AK8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L8" s="214" cm="1">
        <f t="array" ref="AL8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M8" s="214" cm="1">
        <f t="array" ref="AM8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N8" s="214" cm="1">
        <f t="array" ref="AN8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O8" s="214" cm="1">
        <f t="array" ref="AO8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P8" s="214" cm="1">
        <f t="array" ref="AP8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Q8" s="214" cm="1">
        <f t="array" ref="AQ8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928.125</v>
      </c>
      <c r="AR8" s="278">
        <f>SUM(bonus_accrual_forecast_tbl[[#This Row],[1/31/2025]:[12/31/2025]])</f>
        <v>11137.5</v>
      </c>
    </row>
    <row r="9" spans="2:44" ht="12.6" customHeight="1" x14ac:dyDescent="0.25">
      <c r="B9" s="5">
        <f t="shared" si="0"/>
        <v>1003</v>
      </c>
      <c r="C9" s="4" t="s">
        <v>58</v>
      </c>
      <c r="D9" s="4" t="s">
        <v>80</v>
      </c>
      <c r="E9" s="4" t="s">
        <v>36</v>
      </c>
      <c r="F9" s="297" t="b">
        <v>1</v>
      </c>
      <c r="G9" s="6">
        <v>44440</v>
      </c>
      <c r="H9" s="6"/>
      <c r="I9" s="87">
        <v>85000</v>
      </c>
      <c r="J9" s="87">
        <f>payroll_schedule_tbl[[#This Row],[Salary]]*Salary_Deductions</f>
        <v>850</v>
      </c>
      <c r="K9" s="87">
        <f>payroll_schedule_tbl[[#This Row],[Salary]]-payroll_schedule_tbl[[#This Row],[Deductions]]</f>
        <v>84150</v>
      </c>
      <c r="L9" s="87">
        <f>payroll_schedule_tbl[[#This Row],[Net_Salary]]*Bonus_Percentage</f>
        <v>12622.5</v>
      </c>
      <c r="M9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12622.5</v>
      </c>
      <c r="N9" s="297" t="b">
        <v>1</v>
      </c>
      <c r="O9" s="88">
        <f>IFERROR(MIN(Bonus_Month*payroll_schedule_tbl[[#This Row],[Pay_Bonus?]], _xlfn.XMATCH(1, P9:AA9,1,-1)) * payroll_schedule_tbl[[#This Row],[Pay_Bonus?]], 0)</f>
        <v>12</v>
      </c>
      <c r="P9" s="266">
        <f>_xlfn.LET(
    _xlpm.MONTH_START, DATE(2025, COLUMN(P9)-COLUMN($P9)+1,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Q9" s="89">
        <f>_xlfn.LET(
    _xlpm.MONTH_START, DATE(2025, COLUMN(Q9)-COLUMN($P9)+1,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R9" s="89">
        <f>_xlfn.LET(
    _xlpm.MONTH_START, DATE(2025, COLUMN(R9)-COLUMN($P9)+1,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S9" s="89">
        <f>_xlfn.LET(
    _xlpm.MONTH_START, DATE(2025, COLUMN(S9)-COLUMN($P9)+1,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T9" s="89">
        <f>_xlfn.LET(
    _xlpm.MONTH_START, DATE(2025, COLUMN(T9)-COLUMN($P9)+1,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U9" s="89">
        <f>_xlfn.LET(
    _xlpm.MONTH_START, DATE(2025, COLUMN(U9)-COLUMN($P9)+1,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V9" s="89">
        <f>_xlfn.LET(
    _xlpm.MONTH_START, DATE(2025, COLUMN(V9)-COLUMN($P9)+1,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W9" s="89">
        <f>_xlfn.LET(
    _xlpm.MONTH_START, DATE(2025, COLUMN(W9)-COLUMN($P9)+1,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X9" s="89">
        <f>_xlfn.LET(
    _xlpm.MONTH_START, DATE(2025, COLUMN(X9)-COLUMN($P9)+1,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Y9" s="89">
        <f>_xlfn.LET(
    _xlpm.MONTH_START, DATE(2025, COLUMN(Y9)-COLUMN($P9)+1,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Z9" s="89">
        <f>_xlfn.LET(
    _xlpm.MONTH_START, DATE(2025, COLUMN(Z9)-COLUMN($P9)+1,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AA9" s="89">
        <f>_xlfn.LET(
    _xlpm.MONTH_START, DATE(2025, COLUMN(AA9)-COLUMN($P9)+1,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AB9" s="89">
        <f>_xlfn.LET(
    _xlpm.MONTH_START, DATE(2025, COLUMN(AB9)-COLUMN($P9)+1,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7012.5</v>
      </c>
      <c r="AC9" s="268">
        <f>SUM(payroll_schedule_tbl[[#This Row],[1/31/2025]:[12/31/2025]])</f>
        <v>84150</v>
      </c>
      <c r="AE9" s="275" cm="1">
        <f t="array" ref="AE9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F9" s="215" cm="1">
        <f t="array" ref="AF9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G9" s="215" cm="1">
        <f t="array" ref="AG9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H9" s="215" cm="1">
        <f t="array" ref="AH9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I9" s="215" cm="1">
        <f t="array" ref="AI9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J9" s="215" cm="1">
        <f t="array" ref="AJ9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K9" s="215" cm="1">
        <f t="array" ref="AK9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L9" s="215" cm="1">
        <f t="array" ref="AL9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M9" s="215" cm="1">
        <f t="array" ref="AM9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N9" s="215" cm="1">
        <f t="array" ref="AN9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O9" s="215" cm="1">
        <f t="array" ref="AO9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P9" s="215" cm="1">
        <f t="array" ref="AP9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1051.875</v>
      </c>
      <c r="AQ9" s="215" cm="1">
        <f t="array" ref="AQ9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1051.875</v>
      </c>
      <c r="AR9" s="279">
        <f>SUM(bonus_accrual_forecast_tbl[[#This Row],[1/31/2025]:[12/31/2025]])</f>
        <v>12622.5</v>
      </c>
    </row>
    <row r="10" spans="2:44" ht="12.6" customHeight="1" x14ac:dyDescent="0.25">
      <c r="B10" s="5">
        <f t="shared" si="0"/>
        <v>1004</v>
      </c>
      <c r="C10" s="4" t="s">
        <v>134</v>
      </c>
      <c r="D10" s="4" t="s">
        <v>118</v>
      </c>
      <c r="E10" s="4" t="s">
        <v>119</v>
      </c>
      <c r="F10" s="297" t="b">
        <v>1</v>
      </c>
      <c r="G10" s="6">
        <v>44440</v>
      </c>
      <c r="H10" s="6"/>
      <c r="I10" s="87">
        <v>95000</v>
      </c>
      <c r="J10" s="87">
        <f>payroll_schedule_tbl[[#This Row],[Salary]]*Salary_Deductions</f>
        <v>950</v>
      </c>
      <c r="K10" s="87">
        <f>payroll_schedule_tbl[[#This Row],[Salary]]-payroll_schedule_tbl[[#This Row],[Deductions]]</f>
        <v>94050</v>
      </c>
      <c r="L10" s="87">
        <f>payroll_schedule_tbl[[#This Row],[Net_Salary]]*Bonus_Percentage</f>
        <v>14107.5</v>
      </c>
      <c r="M10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14107.5</v>
      </c>
      <c r="N10" s="297" t="b">
        <v>1</v>
      </c>
      <c r="O10" s="88">
        <f>IFERROR(MIN(Bonus_Month*payroll_schedule_tbl[[#This Row],[Pay_Bonus?]], _xlfn.XMATCH(1, P10:AA10,1,-1)) * payroll_schedule_tbl[[#This Row],[Pay_Bonus?]], 0)</f>
        <v>12</v>
      </c>
      <c r="P10" s="266">
        <f>_xlfn.LET(
    _xlpm.MONTH_START, DATE(2025, COLUMN(P10)-COLUMN($P10)+1,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Q10" s="89">
        <f>_xlfn.LET(
    _xlpm.MONTH_START, DATE(2025, COLUMN(Q10)-COLUMN($P10)+1,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R10" s="89">
        <f>_xlfn.LET(
    _xlpm.MONTH_START, DATE(2025, COLUMN(R10)-COLUMN($P10)+1,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S10" s="89">
        <f>_xlfn.LET(
    _xlpm.MONTH_START, DATE(2025, COLUMN(S10)-COLUMN($P10)+1,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T10" s="89">
        <f>_xlfn.LET(
    _xlpm.MONTH_START, DATE(2025, COLUMN(T10)-COLUMN($P10)+1,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U10" s="89">
        <f>_xlfn.LET(
    _xlpm.MONTH_START, DATE(2025, COLUMN(U10)-COLUMN($P10)+1,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V10" s="89">
        <f>_xlfn.LET(
    _xlpm.MONTH_START, DATE(2025, COLUMN(V10)-COLUMN($P10)+1,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W10" s="89">
        <f>_xlfn.LET(
    _xlpm.MONTH_START, DATE(2025, COLUMN(W10)-COLUMN($P10)+1,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X10" s="89">
        <f>_xlfn.LET(
    _xlpm.MONTH_START, DATE(2025, COLUMN(X10)-COLUMN($P10)+1,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Y10" s="89">
        <f>_xlfn.LET(
    _xlpm.MONTH_START, DATE(2025, COLUMN(Y10)-COLUMN($P10)+1,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Z10" s="89">
        <f>_xlfn.LET(
    _xlpm.MONTH_START, DATE(2025, COLUMN(Z10)-COLUMN($P10)+1,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A10" s="89">
        <f>_xlfn.LET(
    _xlpm.MONTH_START, DATE(2025, COLUMN(AA10)-COLUMN($P10)+1,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B10" s="89">
        <f>_xlfn.LET(
    _xlpm.MONTH_START, DATE(2025, COLUMN(AB10)-COLUMN($P10)+1,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C10" s="268">
        <f>SUM(payroll_schedule_tbl[[#This Row],[1/31/2025]:[12/31/2025]])</f>
        <v>94050</v>
      </c>
      <c r="AE10" s="276" cm="1">
        <f t="array" ref="AE10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F10" s="214" cm="1">
        <f t="array" ref="AF10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G10" s="214" cm="1">
        <f t="array" ref="AG10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H10" s="214" cm="1">
        <f t="array" ref="AH10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I10" s="214" cm="1">
        <f t="array" ref="AI10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J10" s="214" cm="1">
        <f t="array" ref="AJ10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K10" s="214" cm="1">
        <f t="array" ref="AK10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L10" s="214" cm="1">
        <f t="array" ref="AL10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M10" s="214" cm="1">
        <f t="array" ref="AM10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N10" s="214" cm="1">
        <f t="array" ref="AN10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O10" s="214" cm="1">
        <f t="array" ref="AO10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P10" s="214" cm="1">
        <f t="array" ref="AP10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Q10" s="214" cm="1">
        <f t="array" ref="AQ10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1175.625</v>
      </c>
      <c r="AR10" s="278">
        <f>SUM(bonus_accrual_forecast_tbl[[#This Row],[1/31/2025]:[12/31/2025]])</f>
        <v>14107.5</v>
      </c>
    </row>
    <row r="11" spans="2:44" ht="12.6" customHeight="1" x14ac:dyDescent="0.25">
      <c r="B11" s="5">
        <f t="shared" si="0"/>
        <v>1005</v>
      </c>
      <c r="C11" s="4" t="s">
        <v>55</v>
      </c>
      <c r="D11" s="4" t="s">
        <v>56</v>
      </c>
      <c r="E11" s="4" t="s">
        <v>57</v>
      </c>
      <c r="F11" s="297" t="b">
        <v>1</v>
      </c>
      <c r="G11" s="6">
        <v>44621</v>
      </c>
      <c r="H11" s="6"/>
      <c r="I11" s="87">
        <v>97000</v>
      </c>
      <c r="J11" s="87">
        <f>payroll_schedule_tbl[[#This Row],[Salary]]*Salary_Deductions</f>
        <v>970</v>
      </c>
      <c r="K11" s="87">
        <f>payroll_schedule_tbl[[#This Row],[Salary]]-payroll_schedule_tbl[[#This Row],[Deductions]]</f>
        <v>96030</v>
      </c>
      <c r="L11" s="87">
        <f>payroll_schedule_tbl[[#This Row],[Net_Salary]]*Bonus_Percentage</f>
        <v>14404.5</v>
      </c>
      <c r="M11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14404.5</v>
      </c>
      <c r="N11" s="297" t="b">
        <v>1</v>
      </c>
      <c r="O11" s="88">
        <f>IFERROR(MIN(Bonus_Month*payroll_schedule_tbl[[#This Row],[Pay_Bonus?]], _xlfn.XMATCH(1, P11:AA11,1,-1)) * payroll_schedule_tbl[[#This Row],[Pay_Bonus?]], 0)</f>
        <v>12</v>
      </c>
      <c r="P11" s="266">
        <f>_xlfn.LET(
    _xlpm.MONTH_START, DATE(2025, COLUMN(P11)-COLUMN($P11)+1,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Q11" s="89">
        <f>_xlfn.LET(
    _xlpm.MONTH_START, DATE(2025, COLUMN(Q11)-COLUMN($P11)+1,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R11" s="89">
        <f>_xlfn.LET(
    _xlpm.MONTH_START, DATE(2025, COLUMN(R11)-COLUMN($P11)+1,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S11" s="89">
        <f>_xlfn.LET(
    _xlpm.MONTH_START, DATE(2025, COLUMN(S11)-COLUMN($P11)+1,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T11" s="89">
        <f>_xlfn.LET(
    _xlpm.MONTH_START, DATE(2025, COLUMN(T11)-COLUMN($P11)+1,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U11" s="89">
        <f>_xlfn.LET(
    _xlpm.MONTH_START, DATE(2025, COLUMN(U11)-COLUMN($P11)+1,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V11" s="89">
        <f>_xlfn.LET(
    _xlpm.MONTH_START, DATE(2025, COLUMN(V11)-COLUMN($P11)+1,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W11" s="89">
        <f>_xlfn.LET(
    _xlpm.MONTH_START, DATE(2025, COLUMN(W11)-COLUMN($P11)+1,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X11" s="89">
        <f>_xlfn.LET(
    _xlpm.MONTH_START, DATE(2025, COLUMN(X11)-COLUMN($P11)+1,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Y11" s="89">
        <f>_xlfn.LET(
    _xlpm.MONTH_START, DATE(2025, COLUMN(Y11)-COLUMN($P11)+1,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Z11" s="89">
        <f>_xlfn.LET(
    _xlpm.MONTH_START, DATE(2025, COLUMN(Z11)-COLUMN($P11)+1,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AA11" s="89">
        <f>_xlfn.LET(
    _xlpm.MONTH_START, DATE(2025, COLUMN(AA11)-COLUMN($P11)+1,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AB11" s="89">
        <f>_xlfn.LET(
    _xlpm.MONTH_START, DATE(2025, COLUMN(AB11)-COLUMN($P11)+1,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8002.5</v>
      </c>
      <c r="AC11" s="268">
        <f>SUM(payroll_schedule_tbl[[#This Row],[1/31/2025]:[12/31/2025]])</f>
        <v>96030</v>
      </c>
      <c r="AE11" s="275" cm="1">
        <f t="array" ref="AE11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F11" s="215" cm="1">
        <f t="array" ref="AF11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G11" s="215" cm="1">
        <f t="array" ref="AG11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H11" s="215" cm="1">
        <f t="array" ref="AH11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I11" s="215" cm="1">
        <f t="array" ref="AI11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J11" s="215" cm="1">
        <f t="array" ref="AJ11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K11" s="215" cm="1">
        <f t="array" ref="AK11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L11" s="215" cm="1">
        <f t="array" ref="AL11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M11" s="215" cm="1">
        <f t="array" ref="AM11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N11" s="215" cm="1">
        <f t="array" ref="AN11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O11" s="215" cm="1">
        <f t="array" ref="AO11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P11" s="215" cm="1">
        <f t="array" ref="AP11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1200.375</v>
      </c>
      <c r="AQ11" s="215" cm="1">
        <f t="array" ref="AQ11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1200.375</v>
      </c>
      <c r="AR11" s="279">
        <f>SUM(bonus_accrual_forecast_tbl[[#This Row],[1/31/2025]:[12/31/2025]])</f>
        <v>14404.5</v>
      </c>
    </row>
    <row r="12" spans="2:44" ht="12.6" customHeight="1" x14ac:dyDescent="0.25">
      <c r="B12" s="5">
        <f t="shared" si="0"/>
        <v>1006</v>
      </c>
      <c r="C12" s="4" t="s">
        <v>39</v>
      </c>
      <c r="D12" s="4" t="s">
        <v>40</v>
      </c>
      <c r="E12" s="4" t="s">
        <v>35</v>
      </c>
      <c r="F12" s="297" t="b">
        <v>1</v>
      </c>
      <c r="G12" s="6">
        <v>44743</v>
      </c>
      <c r="H12" s="6"/>
      <c r="I12" s="87">
        <v>42000</v>
      </c>
      <c r="J12" s="87">
        <f>payroll_schedule_tbl[[#This Row],[Salary]]*Salary_Deductions</f>
        <v>420</v>
      </c>
      <c r="K12" s="87">
        <f>payroll_schedule_tbl[[#This Row],[Salary]]-payroll_schedule_tbl[[#This Row],[Deductions]]</f>
        <v>41580</v>
      </c>
      <c r="L12" s="87">
        <f>payroll_schedule_tbl[[#This Row],[Net_Salary]]*Bonus_Percentage</f>
        <v>6237</v>
      </c>
      <c r="M12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6237</v>
      </c>
      <c r="N12" s="297" t="b">
        <v>1</v>
      </c>
      <c r="O12" s="88">
        <f>IFERROR(MIN(Bonus_Month*payroll_schedule_tbl[[#This Row],[Pay_Bonus?]], _xlfn.XMATCH(1, P12:AA12,1,-1)) * payroll_schedule_tbl[[#This Row],[Pay_Bonus?]], 0)</f>
        <v>12</v>
      </c>
      <c r="P12" s="266">
        <f>_xlfn.LET(
    _xlpm.MONTH_START, DATE(2025, COLUMN(P12)-COLUMN($P12)+1,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Q12" s="89">
        <f>_xlfn.LET(
    _xlpm.MONTH_START, DATE(2025, COLUMN(Q12)-COLUMN($P12)+1,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R12" s="89">
        <f>_xlfn.LET(
    _xlpm.MONTH_START, DATE(2025, COLUMN(R12)-COLUMN($P12)+1,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S12" s="89">
        <f>_xlfn.LET(
    _xlpm.MONTH_START, DATE(2025, COLUMN(S12)-COLUMN($P12)+1,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T12" s="89">
        <f>_xlfn.LET(
    _xlpm.MONTH_START, DATE(2025, COLUMN(T12)-COLUMN($P12)+1,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U12" s="89">
        <f>_xlfn.LET(
    _xlpm.MONTH_START, DATE(2025, COLUMN(U12)-COLUMN($P12)+1,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V12" s="89">
        <f>_xlfn.LET(
    _xlpm.MONTH_START, DATE(2025, COLUMN(V12)-COLUMN($P12)+1,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W12" s="89">
        <f>_xlfn.LET(
    _xlpm.MONTH_START, DATE(2025, COLUMN(W12)-COLUMN($P12)+1,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X12" s="89">
        <f>_xlfn.LET(
    _xlpm.MONTH_START, DATE(2025, COLUMN(X12)-COLUMN($P12)+1,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Y12" s="89">
        <f>_xlfn.LET(
    _xlpm.MONTH_START, DATE(2025, COLUMN(Y12)-COLUMN($P12)+1,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Z12" s="89">
        <f>_xlfn.LET(
    _xlpm.MONTH_START, DATE(2025, COLUMN(Z12)-COLUMN($P12)+1,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AA12" s="89">
        <f>_xlfn.LET(
    _xlpm.MONTH_START, DATE(2025, COLUMN(AA12)-COLUMN($P12)+1,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AB12" s="89">
        <f>_xlfn.LET(
    _xlpm.MONTH_START, DATE(2025, COLUMN(AB12)-COLUMN($P12)+1,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3465</v>
      </c>
      <c r="AC12" s="268">
        <f>SUM(payroll_schedule_tbl[[#This Row],[1/31/2025]:[12/31/2025]])</f>
        <v>41580</v>
      </c>
      <c r="AE12" s="276" cm="1">
        <f t="array" ref="AE12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F12" s="214" cm="1">
        <f t="array" ref="AF12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G12" s="214" cm="1">
        <f t="array" ref="AG12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H12" s="214" cm="1">
        <f t="array" ref="AH12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I12" s="214" cm="1">
        <f t="array" ref="AI12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J12" s="214" cm="1">
        <f t="array" ref="AJ12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K12" s="214" cm="1">
        <f t="array" ref="AK12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L12" s="214" cm="1">
        <f t="array" ref="AL12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M12" s="214" cm="1">
        <f t="array" ref="AM12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N12" s="214" cm="1">
        <f t="array" ref="AN12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O12" s="214" cm="1">
        <f t="array" ref="AO12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P12" s="214" cm="1">
        <f t="array" ref="AP12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519.75</v>
      </c>
      <c r="AQ12" s="214" cm="1">
        <f t="array" ref="AQ12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519.75</v>
      </c>
      <c r="AR12" s="278">
        <f>SUM(bonus_accrual_forecast_tbl[[#This Row],[1/31/2025]:[12/31/2025]])</f>
        <v>6237</v>
      </c>
    </row>
    <row r="13" spans="2:44" ht="12.6" customHeight="1" x14ac:dyDescent="0.25">
      <c r="B13" s="5">
        <f t="shared" si="0"/>
        <v>1007</v>
      </c>
      <c r="C13" s="4" t="s">
        <v>41</v>
      </c>
      <c r="D13" s="4" t="s">
        <v>42</v>
      </c>
      <c r="E13" s="4" t="s">
        <v>36</v>
      </c>
      <c r="F13" s="297" t="b">
        <v>1</v>
      </c>
      <c r="G13" s="6">
        <v>44866</v>
      </c>
      <c r="H13" s="6"/>
      <c r="I13" s="87">
        <v>89000</v>
      </c>
      <c r="J13" s="87">
        <f>payroll_schedule_tbl[[#This Row],[Salary]]*Salary_Deductions</f>
        <v>890</v>
      </c>
      <c r="K13" s="87">
        <f>payroll_schedule_tbl[[#This Row],[Salary]]-payroll_schedule_tbl[[#This Row],[Deductions]]</f>
        <v>88110</v>
      </c>
      <c r="L13" s="87">
        <f>payroll_schedule_tbl[[#This Row],[Net_Salary]]*Bonus_Percentage</f>
        <v>13216.5</v>
      </c>
      <c r="M13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13216.5</v>
      </c>
      <c r="N13" s="297" t="b">
        <v>1</v>
      </c>
      <c r="O13" s="88">
        <f>IFERROR(MIN(Bonus_Month*payroll_schedule_tbl[[#This Row],[Pay_Bonus?]], _xlfn.XMATCH(1, P13:AA13,1,-1)) * payroll_schedule_tbl[[#This Row],[Pay_Bonus?]], 0)</f>
        <v>12</v>
      </c>
      <c r="P13" s="266">
        <f>_xlfn.LET(
    _xlpm.MONTH_START, DATE(2025, COLUMN(P13)-COLUMN($P13)+1,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Q13" s="89">
        <f>_xlfn.LET(
    _xlpm.MONTH_START, DATE(2025, COLUMN(Q13)-COLUMN($P13)+1,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R13" s="89">
        <f>_xlfn.LET(
    _xlpm.MONTH_START, DATE(2025, COLUMN(R13)-COLUMN($P13)+1,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S13" s="89">
        <f>_xlfn.LET(
    _xlpm.MONTH_START, DATE(2025, COLUMN(S13)-COLUMN($P13)+1,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T13" s="89">
        <f>_xlfn.LET(
    _xlpm.MONTH_START, DATE(2025, COLUMN(T13)-COLUMN($P13)+1,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U13" s="89">
        <f>_xlfn.LET(
    _xlpm.MONTH_START, DATE(2025, COLUMN(U13)-COLUMN($P13)+1,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V13" s="89">
        <f>_xlfn.LET(
    _xlpm.MONTH_START, DATE(2025, COLUMN(V13)-COLUMN($P13)+1,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W13" s="89">
        <f>_xlfn.LET(
    _xlpm.MONTH_START, DATE(2025, COLUMN(W13)-COLUMN($P13)+1,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X13" s="89">
        <f>_xlfn.LET(
    _xlpm.MONTH_START, DATE(2025, COLUMN(X13)-COLUMN($P13)+1,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Y13" s="89">
        <f>_xlfn.LET(
    _xlpm.MONTH_START, DATE(2025, COLUMN(Y13)-COLUMN($P13)+1,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Z13" s="89">
        <f>_xlfn.LET(
    _xlpm.MONTH_START, DATE(2025, COLUMN(Z13)-COLUMN($P13)+1,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AA13" s="89">
        <f>_xlfn.LET(
    _xlpm.MONTH_START, DATE(2025, COLUMN(AA13)-COLUMN($P13)+1,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AB13" s="89">
        <f>_xlfn.LET(
    _xlpm.MONTH_START, DATE(2025, COLUMN(AB13)-COLUMN($P13)+1,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7342.5</v>
      </c>
      <c r="AC13" s="268">
        <f>SUM(payroll_schedule_tbl[[#This Row],[1/31/2025]:[12/31/2025]])</f>
        <v>88110</v>
      </c>
      <c r="AE13" s="275" cm="1">
        <f t="array" ref="AE13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F13" s="215" cm="1">
        <f t="array" ref="AF13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G13" s="215" cm="1">
        <f t="array" ref="AG13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H13" s="215" cm="1">
        <f t="array" ref="AH13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I13" s="215" cm="1">
        <f t="array" ref="AI13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J13" s="215" cm="1">
        <f t="array" ref="AJ13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K13" s="215" cm="1">
        <f t="array" ref="AK13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L13" s="215" cm="1">
        <f t="array" ref="AL13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M13" s="215" cm="1">
        <f t="array" ref="AM13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N13" s="215" cm="1">
        <f t="array" ref="AN13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O13" s="215" cm="1">
        <f t="array" ref="AO13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P13" s="215" cm="1">
        <f t="array" ref="AP13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1101.375</v>
      </c>
      <c r="AQ13" s="215" cm="1">
        <f t="array" ref="AQ13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1101.375</v>
      </c>
      <c r="AR13" s="279">
        <f>SUM(bonus_accrual_forecast_tbl[[#This Row],[1/31/2025]:[12/31/2025]])</f>
        <v>13216.5</v>
      </c>
    </row>
    <row r="14" spans="2:44" ht="12.6" customHeight="1" x14ac:dyDescent="0.25">
      <c r="B14" s="5">
        <f t="shared" si="0"/>
        <v>1008</v>
      </c>
      <c r="C14" s="4" t="s">
        <v>48</v>
      </c>
      <c r="D14" s="4" t="s">
        <v>120</v>
      </c>
      <c r="E14" s="4" t="s">
        <v>51</v>
      </c>
      <c r="F14" s="297" t="b">
        <v>1</v>
      </c>
      <c r="G14" s="6">
        <v>44896</v>
      </c>
      <c r="H14" s="6">
        <v>45473</v>
      </c>
      <c r="I14" s="87">
        <v>81000</v>
      </c>
      <c r="J14" s="87">
        <f>payroll_schedule_tbl[[#This Row],[Salary]]*Salary_Deductions</f>
        <v>810</v>
      </c>
      <c r="K14" s="87">
        <f>payroll_schedule_tbl[[#This Row],[Salary]]-payroll_schedule_tbl[[#This Row],[Deductions]]</f>
        <v>80190</v>
      </c>
      <c r="L14" s="87">
        <f>payroll_schedule_tbl[[#This Row],[Net_Salary]]*Bonus_Percentage</f>
        <v>12028.5</v>
      </c>
      <c r="M14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0</v>
      </c>
      <c r="N14" s="297" t="b">
        <v>0</v>
      </c>
      <c r="O14" s="88">
        <f>IFERROR(MIN(Bonus_Month*payroll_schedule_tbl[[#This Row],[Pay_Bonus?]], _xlfn.XMATCH(1, P14:AA14,1,-1)) * payroll_schedule_tbl[[#This Row],[Pay_Bonus?]], 0)</f>
        <v>0</v>
      </c>
      <c r="P14" s="266">
        <f>_xlfn.LET(
    _xlpm.MONTH_START, DATE(2025, COLUMN(P14)-COLUMN($P14)+1,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14" s="89">
        <f>_xlfn.LET(
    _xlpm.MONTH_START, DATE(2025, COLUMN(Q14)-COLUMN($P14)+1,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14" s="89">
        <f>_xlfn.LET(
    _xlpm.MONTH_START, DATE(2025, COLUMN(R14)-COLUMN($P14)+1,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14" s="89">
        <f>_xlfn.LET(
    _xlpm.MONTH_START, DATE(2025, COLUMN(S14)-COLUMN($P14)+1,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14" s="89">
        <f>_xlfn.LET(
    _xlpm.MONTH_START, DATE(2025, COLUMN(T14)-COLUMN($P14)+1,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14" s="89">
        <f>_xlfn.LET(
    _xlpm.MONTH_START, DATE(2025, COLUMN(U14)-COLUMN($P14)+1,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14" s="89">
        <f>_xlfn.LET(
    _xlpm.MONTH_START, DATE(2025, COLUMN(V14)-COLUMN($P14)+1,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14" s="89">
        <f>_xlfn.LET(
    _xlpm.MONTH_START, DATE(2025, COLUMN(W14)-COLUMN($P14)+1,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X14" s="89">
        <f>_xlfn.LET(
    _xlpm.MONTH_START, DATE(2025, COLUMN(X14)-COLUMN($P14)+1,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Y14" s="89">
        <f>_xlfn.LET(
    _xlpm.MONTH_START, DATE(2025, COLUMN(Y14)-COLUMN($P14)+1,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Z14" s="89">
        <f>_xlfn.LET(
    _xlpm.MONTH_START, DATE(2025, COLUMN(Z14)-COLUMN($P14)+1,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A14" s="89">
        <f>_xlfn.LET(
    _xlpm.MONTH_START, DATE(2025, COLUMN(AA14)-COLUMN($P14)+1,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B14" s="89">
        <f>_xlfn.LET(
    _xlpm.MONTH_START, DATE(2025, COLUMN(AB14)-COLUMN($P14)+1,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C14" s="268">
        <f>SUM(payroll_schedule_tbl[[#This Row],[1/31/2025]:[12/31/2025]])</f>
        <v>0</v>
      </c>
      <c r="AE14" s="276" cm="1">
        <f t="array" ref="AE14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14" s="214" cm="1">
        <f t="array" ref="AF14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14" s="214" cm="1">
        <f t="array" ref="AG14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14" s="214" cm="1">
        <f t="array" ref="AH14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14" s="214" cm="1">
        <f t="array" ref="AI14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14" s="214" cm="1">
        <f t="array" ref="AJ14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14" s="214" cm="1">
        <f t="array" ref="AK14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14" s="214" cm="1">
        <f t="array" ref="AL14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M14" s="214" cm="1">
        <f t="array" ref="AM14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N14" s="214" cm="1">
        <f t="array" ref="AN14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O14" s="214" cm="1">
        <f t="array" ref="AO14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P14" s="214" cm="1">
        <f t="array" ref="AP14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Q14" s="214" cm="1">
        <f t="array" ref="AQ14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0</v>
      </c>
      <c r="AR14" s="278">
        <f>SUM(bonus_accrual_forecast_tbl[[#This Row],[1/31/2025]:[12/31/2025]])</f>
        <v>0</v>
      </c>
    </row>
    <row r="15" spans="2:44" ht="12.6" customHeight="1" x14ac:dyDescent="0.25">
      <c r="B15" s="5">
        <f t="shared" si="0"/>
        <v>1009</v>
      </c>
      <c r="C15" s="4" t="s">
        <v>132</v>
      </c>
      <c r="D15" s="4" t="s">
        <v>47</v>
      </c>
      <c r="E15" s="4" t="s">
        <v>38</v>
      </c>
      <c r="F15" s="297" t="b">
        <v>1</v>
      </c>
      <c r="G15" s="6">
        <v>44896</v>
      </c>
      <c r="H15" s="6"/>
      <c r="I15" s="87">
        <v>100000</v>
      </c>
      <c r="J15" s="87">
        <f>payroll_schedule_tbl[[#This Row],[Salary]]*Salary_Deductions</f>
        <v>1000</v>
      </c>
      <c r="K15" s="87">
        <f>payroll_schedule_tbl[[#This Row],[Salary]]-payroll_schedule_tbl[[#This Row],[Deductions]]</f>
        <v>99000</v>
      </c>
      <c r="L15" s="87">
        <f>payroll_schedule_tbl[[#This Row],[Net_Salary]]*Bonus_Percentage</f>
        <v>14850</v>
      </c>
      <c r="M15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14850</v>
      </c>
      <c r="N15" s="297" t="b">
        <v>1</v>
      </c>
      <c r="O15" s="88">
        <f>IFERROR(MIN(Bonus_Month*payroll_schedule_tbl[[#This Row],[Pay_Bonus?]], _xlfn.XMATCH(1, P15:AA15,1,-1)) * payroll_schedule_tbl[[#This Row],[Pay_Bonus?]], 0)</f>
        <v>12</v>
      </c>
      <c r="P15" s="266">
        <f>_xlfn.LET(
    _xlpm.MONTH_START, DATE(2025, COLUMN(P15)-COLUMN($P15)+1,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Q15" s="89">
        <f>_xlfn.LET(
    _xlpm.MONTH_START, DATE(2025, COLUMN(Q15)-COLUMN($P15)+1,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R15" s="89">
        <f>_xlfn.LET(
    _xlpm.MONTH_START, DATE(2025, COLUMN(R15)-COLUMN($P15)+1,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S15" s="89">
        <f>_xlfn.LET(
    _xlpm.MONTH_START, DATE(2025, COLUMN(S15)-COLUMN($P15)+1,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T15" s="89">
        <f>_xlfn.LET(
    _xlpm.MONTH_START, DATE(2025, COLUMN(T15)-COLUMN($P15)+1,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U15" s="89">
        <f>_xlfn.LET(
    _xlpm.MONTH_START, DATE(2025, COLUMN(U15)-COLUMN($P15)+1,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V15" s="89">
        <f>_xlfn.LET(
    _xlpm.MONTH_START, DATE(2025, COLUMN(V15)-COLUMN($P15)+1,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W15" s="89">
        <f>_xlfn.LET(
    _xlpm.MONTH_START, DATE(2025, COLUMN(W15)-COLUMN($P15)+1,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X15" s="89">
        <f>_xlfn.LET(
    _xlpm.MONTH_START, DATE(2025, COLUMN(X15)-COLUMN($P15)+1,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Y15" s="89">
        <f>_xlfn.LET(
    _xlpm.MONTH_START, DATE(2025, COLUMN(Y15)-COLUMN($P15)+1,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Z15" s="89">
        <f>_xlfn.LET(
    _xlpm.MONTH_START, DATE(2025, COLUMN(Z15)-COLUMN($P15)+1,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AA15" s="89">
        <f>_xlfn.LET(
    _xlpm.MONTH_START, DATE(2025, COLUMN(AA15)-COLUMN($P15)+1,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AB15" s="89">
        <f>_xlfn.LET(
    _xlpm.MONTH_START, DATE(2025, COLUMN(AB15)-COLUMN($P15)+1,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8250</v>
      </c>
      <c r="AC15" s="268">
        <f>SUM(payroll_schedule_tbl[[#This Row],[1/31/2025]:[12/31/2025]])</f>
        <v>99000</v>
      </c>
      <c r="AE15" s="275" cm="1">
        <f t="array" ref="AE15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F15" s="215" cm="1">
        <f t="array" ref="AF15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G15" s="215" cm="1">
        <f t="array" ref="AG15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H15" s="215" cm="1">
        <f t="array" ref="AH15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I15" s="215" cm="1">
        <f t="array" ref="AI15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J15" s="215" cm="1">
        <f t="array" ref="AJ15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K15" s="215" cm="1">
        <f t="array" ref="AK15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L15" s="215" cm="1">
        <f t="array" ref="AL15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M15" s="215" cm="1">
        <f t="array" ref="AM15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N15" s="215" cm="1">
        <f t="array" ref="AN15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O15" s="215" cm="1">
        <f t="array" ref="AO15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P15" s="215" cm="1">
        <f t="array" ref="AP15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1237.5</v>
      </c>
      <c r="AQ15" s="215" cm="1">
        <f t="array" ref="AQ15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1237.5</v>
      </c>
      <c r="AR15" s="279">
        <f>SUM(bonus_accrual_forecast_tbl[[#This Row],[1/31/2025]:[12/31/2025]])</f>
        <v>14850</v>
      </c>
    </row>
    <row r="16" spans="2:44" ht="12.6" customHeight="1" x14ac:dyDescent="0.25">
      <c r="B16" s="5">
        <f t="shared" si="0"/>
        <v>1010</v>
      </c>
      <c r="C16" s="4" t="s">
        <v>353</v>
      </c>
      <c r="D16" s="4" t="s">
        <v>50</v>
      </c>
      <c r="E16" s="4" t="s">
        <v>51</v>
      </c>
      <c r="F16" s="297" t="b">
        <v>1</v>
      </c>
      <c r="G16" s="6">
        <v>44927</v>
      </c>
      <c r="H16" s="6"/>
      <c r="I16" s="87">
        <v>88000</v>
      </c>
      <c r="J16" s="87">
        <f>payroll_schedule_tbl[[#This Row],[Salary]]*Salary_Deductions</f>
        <v>880</v>
      </c>
      <c r="K16" s="87">
        <f>payroll_schedule_tbl[[#This Row],[Salary]]-payroll_schedule_tbl[[#This Row],[Deductions]]</f>
        <v>87120</v>
      </c>
      <c r="L16" s="87">
        <f>payroll_schedule_tbl[[#This Row],[Net_Salary]]*Bonus_Percentage</f>
        <v>13068</v>
      </c>
      <c r="M16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13068</v>
      </c>
      <c r="N16" s="297" t="b">
        <v>1</v>
      </c>
      <c r="O16" s="88">
        <f>IFERROR(MIN(Bonus_Month*payroll_schedule_tbl[[#This Row],[Pay_Bonus?]], _xlfn.XMATCH(1, P16:AA16,1,-1)) * payroll_schedule_tbl[[#This Row],[Pay_Bonus?]], 0)</f>
        <v>12</v>
      </c>
      <c r="P16" s="266">
        <f>_xlfn.LET(
    _xlpm.MONTH_START, DATE(2025, COLUMN(P16)-COLUMN($P16)+1,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Q16" s="89">
        <f>_xlfn.LET(
    _xlpm.MONTH_START, DATE(2025, COLUMN(Q16)-COLUMN($P16)+1,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R16" s="89">
        <f>_xlfn.LET(
    _xlpm.MONTH_START, DATE(2025, COLUMN(R16)-COLUMN($P16)+1,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S16" s="89">
        <f>_xlfn.LET(
    _xlpm.MONTH_START, DATE(2025, COLUMN(S16)-COLUMN($P16)+1,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T16" s="89">
        <f>_xlfn.LET(
    _xlpm.MONTH_START, DATE(2025, COLUMN(T16)-COLUMN($P16)+1,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U16" s="89">
        <f>_xlfn.LET(
    _xlpm.MONTH_START, DATE(2025, COLUMN(U16)-COLUMN($P16)+1,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V16" s="89">
        <f>_xlfn.LET(
    _xlpm.MONTH_START, DATE(2025, COLUMN(V16)-COLUMN($P16)+1,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W16" s="89">
        <f>_xlfn.LET(
    _xlpm.MONTH_START, DATE(2025, COLUMN(W16)-COLUMN($P16)+1,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X16" s="89">
        <f>_xlfn.LET(
    _xlpm.MONTH_START, DATE(2025, COLUMN(X16)-COLUMN($P16)+1,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Y16" s="89">
        <f>_xlfn.LET(
    _xlpm.MONTH_START, DATE(2025, COLUMN(Y16)-COLUMN($P16)+1,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Z16" s="89">
        <f>_xlfn.LET(
    _xlpm.MONTH_START, DATE(2025, COLUMN(Z16)-COLUMN($P16)+1,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AA16" s="89">
        <f>_xlfn.LET(
    _xlpm.MONTH_START, DATE(2025, COLUMN(AA16)-COLUMN($P16)+1,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AB16" s="89">
        <f>_xlfn.LET(
    _xlpm.MONTH_START, DATE(2025, COLUMN(AB16)-COLUMN($P16)+1,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7260</v>
      </c>
      <c r="AC16" s="268">
        <f>SUM(payroll_schedule_tbl[[#This Row],[1/31/2025]:[12/31/2025]])</f>
        <v>87120</v>
      </c>
      <c r="AE16" s="276" cm="1">
        <f t="array" ref="AE16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F16" s="214" cm="1">
        <f t="array" ref="AF16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G16" s="214" cm="1">
        <f t="array" ref="AG16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H16" s="214" cm="1">
        <f t="array" ref="AH16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I16" s="214" cm="1">
        <f t="array" ref="AI16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J16" s="214" cm="1">
        <f t="array" ref="AJ16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K16" s="214" cm="1">
        <f t="array" ref="AK16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L16" s="214" cm="1">
        <f t="array" ref="AL16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M16" s="214" cm="1">
        <f t="array" ref="AM16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N16" s="214" cm="1">
        <f t="array" ref="AN16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O16" s="214" cm="1">
        <f t="array" ref="AO16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P16" s="214" cm="1">
        <f t="array" ref="AP16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1089</v>
      </c>
      <c r="AQ16" s="214" cm="1">
        <f t="array" ref="AQ16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1089</v>
      </c>
      <c r="AR16" s="278">
        <f>SUM(bonus_accrual_forecast_tbl[[#This Row],[1/31/2025]:[12/31/2025]])</f>
        <v>13068</v>
      </c>
    </row>
    <row r="17" spans="2:44" ht="12.6" customHeight="1" x14ac:dyDescent="0.25">
      <c r="B17" s="5">
        <f t="shared" si="0"/>
        <v>1011</v>
      </c>
      <c r="C17" s="4" t="s">
        <v>136</v>
      </c>
      <c r="D17" s="4" t="s">
        <v>120</v>
      </c>
      <c r="E17" s="4" t="s">
        <v>51</v>
      </c>
      <c r="F17" s="297" t="b">
        <v>1</v>
      </c>
      <c r="G17" s="6">
        <v>44927</v>
      </c>
      <c r="H17" s="6"/>
      <c r="I17" s="87">
        <v>84000</v>
      </c>
      <c r="J17" s="87">
        <f>payroll_schedule_tbl[[#This Row],[Salary]]*Salary_Deductions</f>
        <v>840</v>
      </c>
      <c r="K17" s="87">
        <f>payroll_schedule_tbl[[#This Row],[Salary]]-payroll_schedule_tbl[[#This Row],[Deductions]]</f>
        <v>83160</v>
      </c>
      <c r="L17" s="87">
        <f>payroll_schedule_tbl[[#This Row],[Net_Salary]]*Bonus_Percentage</f>
        <v>12474</v>
      </c>
      <c r="M17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12474</v>
      </c>
      <c r="N17" s="297" t="b">
        <v>1</v>
      </c>
      <c r="O17" s="88">
        <f>IFERROR(MIN(Bonus_Month*payroll_schedule_tbl[[#This Row],[Pay_Bonus?]], _xlfn.XMATCH(1, P17:AA17,1,-1)) * payroll_schedule_tbl[[#This Row],[Pay_Bonus?]], 0)</f>
        <v>12</v>
      </c>
      <c r="P17" s="266">
        <f>_xlfn.LET(
    _xlpm.MONTH_START, DATE(2025, COLUMN(P17)-COLUMN($P17)+1,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Q17" s="89">
        <f>_xlfn.LET(
    _xlpm.MONTH_START, DATE(2025, COLUMN(Q17)-COLUMN($P17)+1,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R17" s="89">
        <f>_xlfn.LET(
    _xlpm.MONTH_START, DATE(2025, COLUMN(R17)-COLUMN($P17)+1,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S17" s="89">
        <f>_xlfn.LET(
    _xlpm.MONTH_START, DATE(2025, COLUMN(S17)-COLUMN($P17)+1,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T17" s="89">
        <f>_xlfn.LET(
    _xlpm.MONTH_START, DATE(2025, COLUMN(T17)-COLUMN($P17)+1,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U17" s="89">
        <f>_xlfn.LET(
    _xlpm.MONTH_START, DATE(2025, COLUMN(U17)-COLUMN($P17)+1,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V17" s="89">
        <f>_xlfn.LET(
    _xlpm.MONTH_START, DATE(2025, COLUMN(V17)-COLUMN($P17)+1,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W17" s="89">
        <f>_xlfn.LET(
    _xlpm.MONTH_START, DATE(2025, COLUMN(W17)-COLUMN($P17)+1,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X17" s="89">
        <f>_xlfn.LET(
    _xlpm.MONTH_START, DATE(2025, COLUMN(X17)-COLUMN($P17)+1,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Y17" s="89">
        <f>_xlfn.LET(
    _xlpm.MONTH_START, DATE(2025, COLUMN(Y17)-COLUMN($P17)+1,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Z17" s="89">
        <f>_xlfn.LET(
    _xlpm.MONTH_START, DATE(2025, COLUMN(Z17)-COLUMN($P17)+1,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AA17" s="89">
        <f>_xlfn.LET(
    _xlpm.MONTH_START, DATE(2025, COLUMN(AA17)-COLUMN($P17)+1,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AB17" s="89">
        <f>_xlfn.LET(
    _xlpm.MONTH_START, DATE(2025, COLUMN(AB17)-COLUMN($P17)+1,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6930</v>
      </c>
      <c r="AC17" s="268">
        <f>SUM(payroll_schedule_tbl[[#This Row],[1/31/2025]:[12/31/2025]])</f>
        <v>83160</v>
      </c>
      <c r="AE17" s="275" cm="1">
        <f t="array" ref="AE17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F17" s="215" cm="1">
        <f t="array" ref="AF17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G17" s="215" cm="1">
        <f t="array" ref="AG17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H17" s="215" cm="1">
        <f t="array" ref="AH17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I17" s="215" cm="1">
        <f t="array" ref="AI17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J17" s="215" cm="1">
        <f t="array" ref="AJ17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K17" s="215" cm="1">
        <f t="array" ref="AK17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L17" s="215" cm="1">
        <f t="array" ref="AL17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M17" s="215" cm="1">
        <f t="array" ref="AM17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N17" s="215" cm="1">
        <f t="array" ref="AN17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O17" s="215" cm="1">
        <f t="array" ref="AO17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P17" s="215" cm="1">
        <f t="array" ref="AP17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1039.5</v>
      </c>
      <c r="AQ17" s="215" cm="1">
        <f t="array" ref="AQ17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1039.5</v>
      </c>
      <c r="AR17" s="279">
        <f>SUM(bonus_accrual_forecast_tbl[[#This Row],[1/31/2025]:[12/31/2025]])</f>
        <v>12474</v>
      </c>
    </row>
    <row r="18" spans="2:44" ht="12.6" customHeight="1" x14ac:dyDescent="0.25">
      <c r="B18" s="5">
        <f t="shared" si="0"/>
        <v>1012</v>
      </c>
      <c r="C18" s="4" t="s">
        <v>133</v>
      </c>
      <c r="D18" s="4" t="s">
        <v>129</v>
      </c>
      <c r="E18" s="4" t="s">
        <v>119</v>
      </c>
      <c r="F18" s="297" t="b">
        <v>1</v>
      </c>
      <c r="G18" s="6">
        <v>44986</v>
      </c>
      <c r="H18" s="6"/>
      <c r="I18" s="87">
        <v>68000</v>
      </c>
      <c r="J18" s="87">
        <f>payroll_schedule_tbl[[#This Row],[Salary]]*Salary_Deductions</f>
        <v>680</v>
      </c>
      <c r="K18" s="87">
        <f>payroll_schedule_tbl[[#This Row],[Salary]]-payroll_schedule_tbl[[#This Row],[Deductions]]</f>
        <v>67320</v>
      </c>
      <c r="L18" s="87">
        <f>payroll_schedule_tbl[[#This Row],[Net_Salary]]*Bonus_Percentage</f>
        <v>10098</v>
      </c>
      <c r="M18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10098</v>
      </c>
      <c r="N18" s="297" t="b">
        <v>1</v>
      </c>
      <c r="O18" s="88">
        <f>IFERROR(MIN(Bonus_Month*payroll_schedule_tbl[[#This Row],[Pay_Bonus?]], _xlfn.XMATCH(1, P18:AA18,1,-1)) * payroll_schedule_tbl[[#This Row],[Pay_Bonus?]], 0)</f>
        <v>12</v>
      </c>
      <c r="P18" s="266">
        <f>_xlfn.LET(
    _xlpm.MONTH_START, DATE(2025, COLUMN(P18)-COLUMN($P18)+1,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Q18" s="89">
        <f>_xlfn.LET(
    _xlpm.MONTH_START, DATE(2025, COLUMN(Q18)-COLUMN($P18)+1,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R18" s="89">
        <f>_xlfn.LET(
    _xlpm.MONTH_START, DATE(2025, COLUMN(R18)-COLUMN($P18)+1,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S18" s="89">
        <f>_xlfn.LET(
    _xlpm.MONTH_START, DATE(2025, COLUMN(S18)-COLUMN($P18)+1,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T18" s="89">
        <f>_xlfn.LET(
    _xlpm.MONTH_START, DATE(2025, COLUMN(T18)-COLUMN($P18)+1,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U18" s="89">
        <f>_xlfn.LET(
    _xlpm.MONTH_START, DATE(2025, COLUMN(U18)-COLUMN($P18)+1,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V18" s="89">
        <f>_xlfn.LET(
    _xlpm.MONTH_START, DATE(2025, COLUMN(V18)-COLUMN($P18)+1,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W18" s="89">
        <f>_xlfn.LET(
    _xlpm.MONTH_START, DATE(2025, COLUMN(W18)-COLUMN($P18)+1,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X18" s="89">
        <f>_xlfn.LET(
    _xlpm.MONTH_START, DATE(2025, COLUMN(X18)-COLUMN($P18)+1,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Y18" s="89">
        <f>_xlfn.LET(
    _xlpm.MONTH_START, DATE(2025, COLUMN(Y18)-COLUMN($P18)+1,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Z18" s="89">
        <f>_xlfn.LET(
    _xlpm.MONTH_START, DATE(2025, COLUMN(Z18)-COLUMN($P18)+1,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AA18" s="89">
        <f>_xlfn.LET(
    _xlpm.MONTH_START, DATE(2025, COLUMN(AA18)-COLUMN($P18)+1,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AB18" s="89">
        <f>_xlfn.LET(
    _xlpm.MONTH_START, DATE(2025, COLUMN(AB18)-COLUMN($P18)+1,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5610</v>
      </c>
      <c r="AC18" s="268">
        <f>SUM(payroll_schedule_tbl[[#This Row],[1/31/2025]:[12/31/2025]])</f>
        <v>67320</v>
      </c>
      <c r="AE18" s="276" cm="1">
        <f t="array" ref="AE18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F18" s="214" cm="1">
        <f t="array" ref="AF18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G18" s="214" cm="1">
        <f t="array" ref="AG18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H18" s="214" cm="1">
        <f t="array" ref="AH18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I18" s="214" cm="1">
        <f t="array" ref="AI18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J18" s="214" cm="1">
        <f t="array" ref="AJ18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K18" s="214" cm="1">
        <f t="array" ref="AK18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L18" s="214" cm="1">
        <f t="array" ref="AL18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M18" s="214" cm="1">
        <f t="array" ref="AM18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N18" s="214" cm="1">
        <f t="array" ref="AN18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O18" s="214" cm="1">
        <f t="array" ref="AO18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P18" s="214" cm="1">
        <f t="array" ref="AP18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841.5</v>
      </c>
      <c r="AQ18" s="214" cm="1">
        <f t="array" ref="AQ18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841.5</v>
      </c>
      <c r="AR18" s="278">
        <f>SUM(bonus_accrual_forecast_tbl[[#This Row],[1/31/2025]:[12/31/2025]])</f>
        <v>10098</v>
      </c>
    </row>
    <row r="19" spans="2:44" ht="12.6" customHeight="1" x14ac:dyDescent="0.25">
      <c r="B19" s="5">
        <f t="shared" si="0"/>
        <v>1013</v>
      </c>
      <c r="C19" s="4" t="s">
        <v>34</v>
      </c>
      <c r="D19" s="4" t="s">
        <v>79</v>
      </c>
      <c r="E19" s="4" t="s">
        <v>35</v>
      </c>
      <c r="F19" s="297" t="b">
        <v>1</v>
      </c>
      <c r="G19" s="6">
        <v>45078</v>
      </c>
      <c r="H19" s="6"/>
      <c r="I19" s="87">
        <v>70000</v>
      </c>
      <c r="J19" s="87">
        <f>payroll_schedule_tbl[[#This Row],[Salary]]*Salary_Deductions</f>
        <v>700</v>
      </c>
      <c r="K19" s="87">
        <f>payroll_schedule_tbl[[#This Row],[Salary]]-payroll_schedule_tbl[[#This Row],[Deductions]]</f>
        <v>69300</v>
      </c>
      <c r="L19" s="87">
        <f>payroll_schedule_tbl[[#This Row],[Net_Salary]]*Bonus_Percentage</f>
        <v>10395</v>
      </c>
      <c r="M19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10395</v>
      </c>
      <c r="N19" s="297" t="b">
        <v>1</v>
      </c>
      <c r="O19" s="88">
        <f>IFERROR(MIN(Bonus_Month*payroll_schedule_tbl[[#This Row],[Pay_Bonus?]], _xlfn.XMATCH(1, P19:AA19,1,-1)) * payroll_schedule_tbl[[#This Row],[Pay_Bonus?]], 0)</f>
        <v>12</v>
      </c>
      <c r="P19" s="266">
        <f>_xlfn.LET(
    _xlpm.MONTH_START, DATE(2025, COLUMN(P19)-COLUMN($P19)+1,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Q19" s="89">
        <f>_xlfn.LET(
    _xlpm.MONTH_START, DATE(2025, COLUMN(Q19)-COLUMN($P19)+1,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R19" s="89">
        <f>_xlfn.LET(
    _xlpm.MONTH_START, DATE(2025, COLUMN(R19)-COLUMN($P19)+1,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S19" s="89">
        <f>_xlfn.LET(
    _xlpm.MONTH_START, DATE(2025, COLUMN(S19)-COLUMN($P19)+1,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T19" s="89">
        <f>_xlfn.LET(
    _xlpm.MONTH_START, DATE(2025, COLUMN(T19)-COLUMN($P19)+1,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U19" s="89">
        <f>_xlfn.LET(
    _xlpm.MONTH_START, DATE(2025, COLUMN(U19)-COLUMN($P19)+1,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V19" s="89">
        <f>_xlfn.LET(
    _xlpm.MONTH_START, DATE(2025, COLUMN(V19)-COLUMN($P19)+1,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W19" s="89">
        <f>_xlfn.LET(
    _xlpm.MONTH_START, DATE(2025, COLUMN(W19)-COLUMN($P19)+1,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X19" s="89">
        <f>_xlfn.LET(
    _xlpm.MONTH_START, DATE(2025, COLUMN(X19)-COLUMN($P19)+1,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Y19" s="89">
        <f>_xlfn.LET(
    _xlpm.MONTH_START, DATE(2025, COLUMN(Y19)-COLUMN($P19)+1,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Z19" s="89">
        <f>_xlfn.LET(
    _xlpm.MONTH_START, DATE(2025, COLUMN(Z19)-COLUMN($P19)+1,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A19" s="89">
        <f>_xlfn.LET(
    _xlpm.MONTH_START, DATE(2025, COLUMN(AA19)-COLUMN($P19)+1,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B19" s="89">
        <f>_xlfn.LET(
    _xlpm.MONTH_START, DATE(2025, COLUMN(AB19)-COLUMN($P19)+1,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C19" s="268">
        <f>SUM(payroll_schedule_tbl[[#This Row],[1/31/2025]:[12/31/2025]])</f>
        <v>69300</v>
      </c>
      <c r="AE19" s="275" cm="1">
        <f t="array" ref="AE19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F19" s="215" cm="1">
        <f t="array" ref="AF19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G19" s="215" cm="1">
        <f t="array" ref="AG19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H19" s="215" cm="1">
        <f t="array" ref="AH19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I19" s="215" cm="1">
        <f t="array" ref="AI19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J19" s="215" cm="1">
        <f t="array" ref="AJ19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K19" s="215" cm="1">
        <f t="array" ref="AK19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L19" s="215" cm="1">
        <f t="array" ref="AL19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M19" s="215" cm="1">
        <f t="array" ref="AM19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N19" s="215" cm="1">
        <f t="array" ref="AN19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O19" s="215" cm="1">
        <f t="array" ref="AO19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P19" s="215" cm="1">
        <f t="array" ref="AP19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Q19" s="215" cm="1">
        <f t="array" ref="AQ19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866.25</v>
      </c>
      <c r="AR19" s="279">
        <f>SUM(bonus_accrual_forecast_tbl[[#This Row],[1/31/2025]:[12/31/2025]])</f>
        <v>10395</v>
      </c>
    </row>
    <row r="20" spans="2:44" ht="12.6" customHeight="1" x14ac:dyDescent="0.25">
      <c r="B20" s="5">
        <f t="shared" si="0"/>
        <v>1014</v>
      </c>
      <c r="C20" s="4" t="s">
        <v>137</v>
      </c>
      <c r="D20" s="4" t="s">
        <v>124</v>
      </c>
      <c r="E20" s="4" t="s">
        <v>13</v>
      </c>
      <c r="F20" s="297" t="b">
        <v>1</v>
      </c>
      <c r="G20" s="6">
        <v>45108</v>
      </c>
      <c r="H20" s="6"/>
      <c r="I20" s="87">
        <v>65000</v>
      </c>
      <c r="J20" s="87">
        <f>payroll_schedule_tbl[[#This Row],[Salary]]*Salary_Deductions</f>
        <v>650</v>
      </c>
      <c r="K20" s="87">
        <f>payroll_schedule_tbl[[#This Row],[Salary]]-payroll_schedule_tbl[[#This Row],[Deductions]]</f>
        <v>64350</v>
      </c>
      <c r="L20" s="87">
        <f>payroll_schedule_tbl[[#This Row],[Net_Salary]]*Bonus_Percentage</f>
        <v>9652.5</v>
      </c>
      <c r="M20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9652.5</v>
      </c>
      <c r="N20" s="297" t="b">
        <v>1</v>
      </c>
      <c r="O20" s="88">
        <f>IFERROR(MIN(Bonus_Month*payroll_schedule_tbl[[#This Row],[Pay_Bonus?]], _xlfn.XMATCH(1, P20:AA20,1,-1)) * payroll_schedule_tbl[[#This Row],[Pay_Bonus?]], 0)</f>
        <v>12</v>
      </c>
      <c r="P20" s="266">
        <f>_xlfn.LET(
    _xlpm.MONTH_START, DATE(2025, COLUMN(P20)-COLUMN($P20)+1,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Q20" s="89">
        <f>_xlfn.LET(
    _xlpm.MONTH_START, DATE(2025, COLUMN(Q20)-COLUMN($P20)+1,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R20" s="89">
        <f>_xlfn.LET(
    _xlpm.MONTH_START, DATE(2025, COLUMN(R20)-COLUMN($P20)+1,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S20" s="89">
        <f>_xlfn.LET(
    _xlpm.MONTH_START, DATE(2025, COLUMN(S20)-COLUMN($P20)+1,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T20" s="89">
        <f>_xlfn.LET(
    _xlpm.MONTH_START, DATE(2025, COLUMN(T20)-COLUMN($P20)+1,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U20" s="89">
        <f>_xlfn.LET(
    _xlpm.MONTH_START, DATE(2025, COLUMN(U20)-COLUMN($P20)+1,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V20" s="89">
        <f>_xlfn.LET(
    _xlpm.MONTH_START, DATE(2025, COLUMN(V20)-COLUMN($P20)+1,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W20" s="89">
        <f>_xlfn.LET(
    _xlpm.MONTH_START, DATE(2025, COLUMN(W20)-COLUMN($P20)+1,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X20" s="89">
        <f>_xlfn.LET(
    _xlpm.MONTH_START, DATE(2025, COLUMN(X20)-COLUMN($P20)+1,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Y20" s="89">
        <f>_xlfn.LET(
    _xlpm.MONTH_START, DATE(2025, COLUMN(Y20)-COLUMN($P20)+1,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Z20" s="89">
        <f>_xlfn.LET(
    _xlpm.MONTH_START, DATE(2025, COLUMN(Z20)-COLUMN($P20)+1,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A20" s="89">
        <f>_xlfn.LET(
    _xlpm.MONTH_START, DATE(2025, COLUMN(AA20)-COLUMN($P20)+1,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B20" s="89">
        <f>_xlfn.LET(
    _xlpm.MONTH_START, DATE(2025, COLUMN(AB20)-COLUMN($P20)+1,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C20" s="268">
        <f>SUM(payroll_schedule_tbl[[#This Row],[1/31/2025]:[12/31/2025]])</f>
        <v>64350</v>
      </c>
      <c r="AE20" s="276" cm="1">
        <f t="array" ref="AE20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F20" s="214" cm="1">
        <f t="array" ref="AF20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G20" s="214" cm="1">
        <f t="array" ref="AG20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H20" s="214" cm="1">
        <f t="array" ref="AH20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I20" s="214" cm="1">
        <f t="array" ref="AI20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J20" s="214" cm="1">
        <f t="array" ref="AJ20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K20" s="214" cm="1">
        <f t="array" ref="AK20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L20" s="214" cm="1">
        <f t="array" ref="AL20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M20" s="214" cm="1">
        <f t="array" ref="AM20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N20" s="214" cm="1">
        <f t="array" ref="AN20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O20" s="214" cm="1">
        <f t="array" ref="AO20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P20" s="214" cm="1">
        <f t="array" ref="AP20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Q20" s="214" cm="1">
        <f t="array" ref="AQ20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804.375</v>
      </c>
      <c r="AR20" s="278">
        <f>SUM(bonus_accrual_forecast_tbl[[#This Row],[1/31/2025]:[12/31/2025]])</f>
        <v>9652.5</v>
      </c>
    </row>
    <row r="21" spans="2:44" ht="12.6" customHeight="1" x14ac:dyDescent="0.25">
      <c r="B21" s="5">
        <f t="shared" si="0"/>
        <v>1015</v>
      </c>
      <c r="C21" s="4" t="s">
        <v>138</v>
      </c>
      <c r="D21" s="4" t="s">
        <v>118</v>
      </c>
      <c r="E21" s="4" t="s">
        <v>119</v>
      </c>
      <c r="F21" s="297" t="b">
        <v>1</v>
      </c>
      <c r="G21" s="6">
        <v>45139</v>
      </c>
      <c r="H21" s="6"/>
      <c r="I21" s="87">
        <v>75000</v>
      </c>
      <c r="J21" s="87">
        <f>payroll_schedule_tbl[[#This Row],[Salary]]*Salary_Deductions</f>
        <v>750</v>
      </c>
      <c r="K21" s="87">
        <f>payroll_schedule_tbl[[#This Row],[Salary]]-payroll_schedule_tbl[[#This Row],[Deductions]]</f>
        <v>74250</v>
      </c>
      <c r="L21" s="87">
        <f>payroll_schedule_tbl[[#This Row],[Net_Salary]]*Bonus_Percentage</f>
        <v>11137.5</v>
      </c>
      <c r="M21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11137.5</v>
      </c>
      <c r="N21" s="297" t="b">
        <v>1</v>
      </c>
      <c r="O21" s="88">
        <f>IFERROR(MIN(Bonus_Month*payroll_schedule_tbl[[#This Row],[Pay_Bonus?]], _xlfn.XMATCH(1, P21:AA21,1,-1)) * payroll_schedule_tbl[[#This Row],[Pay_Bonus?]], 0)</f>
        <v>12</v>
      </c>
      <c r="P21" s="266">
        <f>_xlfn.LET(
    _xlpm.MONTH_START, DATE(2025, COLUMN(P21)-COLUMN($P21)+1,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Q21" s="89">
        <f>_xlfn.LET(
    _xlpm.MONTH_START, DATE(2025, COLUMN(Q21)-COLUMN($P21)+1,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R21" s="89">
        <f>_xlfn.LET(
    _xlpm.MONTH_START, DATE(2025, COLUMN(R21)-COLUMN($P21)+1,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S21" s="89">
        <f>_xlfn.LET(
    _xlpm.MONTH_START, DATE(2025, COLUMN(S21)-COLUMN($P21)+1,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T21" s="89">
        <f>_xlfn.LET(
    _xlpm.MONTH_START, DATE(2025, COLUMN(T21)-COLUMN($P21)+1,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U21" s="89">
        <f>_xlfn.LET(
    _xlpm.MONTH_START, DATE(2025, COLUMN(U21)-COLUMN($P21)+1,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V21" s="89">
        <f>_xlfn.LET(
    _xlpm.MONTH_START, DATE(2025, COLUMN(V21)-COLUMN($P21)+1,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W21" s="89">
        <f>_xlfn.LET(
    _xlpm.MONTH_START, DATE(2025, COLUMN(W21)-COLUMN($P21)+1,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X21" s="89">
        <f>_xlfn.LET(
    _xlpm.MONTH_START, DATE(2025, COLUMN(X21)-COLUMN($P21)+1,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Y21" s="89">
        <f>_xlfn.LET(
    _xlpm.MONTH_START, DATE(2025, COLUMN(Y21)-COLUMN($P21)+1,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Z21" s="89">
        <f>_xlfn.LET(
    _xlpm.MONTH_START, DATE(2025, COLUMN(Z21)-COLUMN($P21)+1,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A21" s="89">
        <f>_xlfn.LET(
    _xlpm.MONTH_START, DATE(2025, COLUMN(AA21)-COLUMN($P21)+1,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B21" s="89">
        <f>_xlfn.LET(
    _xlpm.MONTH_START, DATE(2025, COLUMN(AB21)-COLUMN($P21)+1,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C21" s="268">
        <f>SUM(payroll_schedule_tbl[[#This Row],[1/31/2025]:[12/31/2025]])</f>
        <v>74250</v>
      </c>
      <c r="AE21" s="275" cm="1">
        <f t="array" ref="AE21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F21" s="215" cm="1">
        <f t="array" ref="AF21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G21" s="215" cm="1">
        <f t="array" ref="AG21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H21" s="215" cm="1">
        <f t="array" ref="AH21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I21" s="215" cm="1">
        <f t="array" ref="AI21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J21" s="215" cm="1">
        <f t="array" ref="AJ21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K21" s="215" cm="1">
        <f t="array" ref="AK21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L21" s="215" cm="1">
        <f t="array" ref="AL21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M21" s="215" cm="1">
        <f t="array" ref="AM21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N21" s="215" cm="1">
        <f t="array" ref="AN21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O21" s="215" cm="1">
        <f t="array" ref="AO21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P21" s="215" cm="1">
        <f t="array" ref="AP21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Q21" s="215" cm="1">
        <f t="array" ref="AQ21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928.125</v>
      </c>
      <c r="AR21" s="279">
        <f>SUM(bonus_accrual_forecast_tbl[[#This Row],[1/31/2025]:[12/31/2025]])</f>
        <v>11137.5</v>
      </c>
    </row>
    <row r="22" spans="2:44" ht="12.6" customHeight="1" x14ac:dyDescent="0.25">
      <c r="B22" s="5">
        <f t="shared" si="0"/>
        <v>1016</v>
      </c>
      <c r="C22" s="4" t="s">
        <v>43</v>
      </c>
      <c r="D22" s="4" t="s">
        <v>44</v>
      </c>
      <c r="E22" s="4" t="s">
        <v>38</v>
      </c>
      <c r="F22" s="297" t="b">
        <v>1</v>
      </c>
      <c r="G22" s="6">
        <v>45139</v>
      </c>
      <c r="H22" s="6"/>
      <c r="I22" s="87">
        <v>73000</v>
      </c>
      <c r="J22" s="87">
        <f>payroll_schedule_tbl[[#This Row],[Salary]]*Salary_Deductions</f>
        <v>730</v>
      </c>
      <c r="K22" s="87">
        <f>payroll_schedule_tbl[[#This Row],[Salary]]-payroll_schedule_tbl[[#This Row],[Deductions]]</f>
        <v>72270</v>
      </c>
      <c r="L22" s="87">
        <f>payroll_schedule_tbl[[#This Row],[Net_Salary]]*Bonus_Percentage</f>
        <v>10840.5</v>
      </c>
      <c r="M22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10840.5</v>
      </c>
      <c r="N22" s="297" t="b">
        <v>1</v>
      </c>
      <c r="O22" s="88">
        <f>IFERROR(MIN(Bonus_Month*payroll_schedule_tbl[[#This Row],[Pay_Bonus?]], _xlfn.XMATCH(1, P22:AA22,1,-1)) * payroll_schedule_tbl[[#This Row],[Pay_Bonus?]], 0)</f>
        <v>12</v>
      </c>
      <c r="P22" s="266">
        <f>_xlfn.LET(
    _xlpm.MONTH_START, DATE(2025, COLUMN(P22)-COLUMN($P22)+1,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Q22" s="89">
        <f>_xlfn.LET(
    _xlpm.MONTH_START, DATE(2025, COLUMN(Q22)-COLUMN($P22)+1,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R22" s="89">
        <f>_xlfn.LET(
    _xlpm.MONTH_START, DATE(2025, COLUMN(R22)-COLUMN($P22)+1,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S22" s="89">
        <f>_xlfn.LET(
    _xlpm.MONTH_START, DATE(2025, COLUMN(S22)-COLUMN($P22)+1,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T22" s="89">
        <f>_xlfn.LET(
    _xlpm.MONTH_START, DATE(2025, COLUMN(T22)-COLUMN($P22)+1,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U22" s="89">
        <f>_xlfn.LET(
    _xlpm.MONTH_START, DATE(2025, COLUMN(U22)-COLUMN($P22)+1,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V22" s="89">
        <f>_xlfn.LET(
    _xlpm.MONTH_START, DATE(2025, COLUMN(V22)-COLUMN($P22)+1,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W22" s="89">
        <f>_xlfn.LET(
    _xlpm.MONTH_START, DATE(2025, COLUMN(W22)-COLUMN($P22)+1,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X22" s="89">
        <f>_xlfn.LET(
    _xlpm.MONTH_START, DATE(2025, COLUMN(X22)-COLUMN($P22)+1,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Y22" s="89">
        <f>_xlfn.LET(
    _xlpm.MONTH_START, DATE(2025, COLUMN(Y22)-COLUMN($P22)+1,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Z22" s="89">
        <f>_xlfn.LET(
    _xlpm.MONTH_START, DATE(2025, COLUMN(Z22)-COLUMN($P22)+1,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AA22" s="89">
        <f>_xlfn.LET(
    _xlpm.MONTH_START, DATE(2025, COLUMN(AA22)-COLUMN($P22)+1,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AB22" s="89">
        <f>_xlfn.LET(
    _xlpm.MONTH_START, DATE(2025, COLUMN(AB22)-COLUMN($P22)+1,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6022.5</v>
      </c>
      <c r="AC22" s="268">
        <f>SUM(payroll_schedule_tbl[[#This Row],[1/31/2025]:[12/31/2025]])</f>
        <v>72270</v>
      </c>
      <c r="AE22" s="276" cm="1">
        <f t="array" ref="AE22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F22" s="214" cm="1">
        <f t="array" ref="AF22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G22" s="214" cm="1">
        <f t="array" ref="AG22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H22" s="214" cm="1">
        <f t="array" ref="AH22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I22" s="214" cm="1">
        <f t="array" ref="AI22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J22" s="214" cm="1">
        <f t="array" ref="AJ22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K22" s="214" cm="1">
        <f t="array" ref="AK22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L22" s="214" cm="1">
        <f t="array" ref="AL22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M22" s="214" cm="1">
        <f t="array" ref="AM22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N22" s="214" cm="1">
        <f t="array" ref="AN22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O22" s="214" cm="1">
        <f t="array" ref="AO22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P22" s="214" cm="1">
        <f t="array" ref="AP22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903.375</v>
      </c>
      <c r="AQ22" s="214" cm="1">
        <f t="array" ref="AQ22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903.375</v>
      </c>
      <c r="AR22" s="278">
        <f>SUM(bonus_accrual_forecast_tbl[[#This Row],[1/31/2025]:[12/31/2025]])</f>
        <v>10840.5</v>
      </c>
    </row>
    <row r="23" spans="2:44" ht="12.6" customHeight="1" x14ac:dyDescent="0.25">
      <c r="B23" s="5">
        <f t="shared" si="0"/>
        <v>1017</v>
      </c>
      <c r="C23" s="4" t="s">
        <v>52</v>
      </c>
      <c r="D23" s="4" t="s">
        <v>53</v>
      </c>
      <c r="E23" s="4" t="s">
        <v>54</v>
      </c>
      <c r="F23" s="297" t="b">
        <v>1</v>
      </c>
      <c r="G23" s="6">
        <v>45200</v>
      </c>
      <c r="H23" s="6"/>
      <c r="I23" s="87">
        <v>117000</v>
      </c>
      <c r="J23" s="87">
        <f>payroll_schedule_tbl[[#This Row],[Salary]]*Salary_Deductions</f>
        <v>1170</v>
      </c>
      <c r="K23" s="87">
        <f>payroll_schedule_tbl[[#This Row],[Salary]]-payroll_schedule_tbl[[#This Row],[Deductions]]</f>
        <v>115830</v>
      </c>
      <c r="L23" s="87">
        <f>payroll_schedule_tbl[[#This Row],[Net_Salary]]*Bonus_Percentage</f>
        <v>17374.5</v>
      </c>
      <c r="M23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17374.5</v>
      </c>
      <c r="N23" s="297" t="b">
        <v>1</v>
      </c>
      <c r="O23" s="88">
        <f>IFERROR(MIN(Bonus_Month*payroll_schedule_tbl[[#This Row],[Pay_Bonus?]], _xlfn.XMATCH(1, P23:AA23,1,-1)) * payroll_schedule_tbl[[#This Row],[Pay_Bonus?]], 0)</f>
        <v>12</v>
      </c>
      <c r="P23" s="266">
        <f>_xlfn.LET(
    _xlpm.MONTH_START, DATE(2025, COLUMN(P23)-COLUMN($P23)+1,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Q23" s="89">
        <f>_xlfn.LET(
    _xlpm.MONTH_START, DATE(2025, COLUMN(Q23)-COLUMN($P23)+1,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R23" s="89">
        <f>_xlfn.LET(
    _xlpm.MONTH_START, DATE(2025, COLUMN(R23)-COLUMN($P23)+1,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S23" s="89">
        <f>_xlfn.LET(
    _xlpm.MONTH_START, DATE(2025, COLUMN(S23)-COLUMN($P23)+1,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T23" s="89">
        <f>_xlfn.LET(
    _xlpm.MONTH_START, DATE(2025, COLUMN(T23)-COLUMN($P23)+1,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U23" s="89">
        <f>_xlfn.LET(
    _xlpm.MONTH_START, DATE(2025, COLUMN(U23)-COLUMN($P23)+1,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V23" s="89">
        <f>_xlfn.LET(
    _xlpm.MONTH_START, DATE(2025, COLUMN(V23)-COLUMN($P23)+1,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W23" s="89">
        <f>_xlfn.LET(
    _xlpm.MONTH_START, DATE(2025, COLUMN(W23)-COLUMN($P23)+1,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X23" s="89">
        <f>_xlfn.LET(
    _xlpm.MONTH_START, DATE(2025, COLUMN(X23)-COLUMN($P23)+1,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Y23" s="89">
        <f>_xlfn.LET(
    _xlpm.MONTH_START, DATE(2025, COLUMN(Y23)-COLUMN($P23)+1,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Z23" s="89">
        <f>_xlfn.LET(
    _xlpm.MONTH_START, DATE(2025, COLUMN(Z23)-COLUMN($P23)+1,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AA23" s="89">
        <f>_xlfn.LET(
    _xlpm.MONTH_START, DATE(2025, COLUMN(AA23)-COLUMN($P23)+1,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AB23" s="89">
        <f>_xlfn.LET(
    _xlpm.MONTH_START, DATE(2025, COLUMN(AB23)-COLUMN($P23)+1,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9652.5</v>
      </c>
      <c r="AC23" s="268">
        <f>SUM(payroll_schedule_tbl[[#This Row],[1/31/2025]:[12/31/2025]])</f>
        <v>115830</v>
      </c>
      <c r="AE23" s="275" cm="1">
        <f t="array" ref="AE23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F23" s="215" cm="1">
        <f t="array" ref="AF23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G23" s="215" cm="1">
        <f t="array" ref="AG23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H23" s="215" cm="1">
        <f t="array" ref="AH23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I23" s="215" cm="1">
        <f t="array" ref="AI23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J23" s="215" cm="1">
        <f t="array" ref="AJ23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K23" s="215" cm="1">
        <f t="array" ref="AK23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L23" s="215" cm="1">
        <f t="array" ref="AL23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M23" s="215" cm="1">
        <f t="array" ref="AM23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N23" s="215" cm="1">
        <f t="array" ref="AN23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O23" s="215" cm="1">
        <f t="array" ref="AO23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P23" s="215" cm="1">
        <f t="array" ref="AP23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1447.875</v>
      </c>
      <c r="AQ23" s="215" cm="1">
        <f t="array" ref="AQ23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1447.875</v>
      </c>
      <c r="AR23" s="279">
        <f>SUM(bonus_accrual_forecast_tbl[[#This Row],[1/31/2025]:[12/31/2025]])</f>
        <v>17374.5</v>
      </c>
    </row>
    <row r="24" spans="2:44" ht="12.6" customHeight="1" x14ac:dyDescent="0.25">
      <c r="B24" s="5">
        <f t="shared" si="0"/>
        <v>1018</v>
      </c>
      <c r="C24" s="4" t="s">
        <v>139</v>
      </c>
      <c r="D24" s="4" t="s">
        <v>122</v>
      </c>
      <c r="E24" s="4" t="s">
        <v>38</v>
      </c>
      <c r="F24" s="297" t="b">
        <v>1</v>
      </c>
      <c r="G24" s="6">
        <v>45323</v>
      </c>
      <c r="H24" s="6"/>
      <c r="I24" s="87">
        <v>95000</v>
      </c>
      <c r="J24" s="87">
        <f>payroll_schedule_tbl[[#This Row],[Salary]]*Salary_Deductions</f>
        <v>950</v>
      </c>
      <c r="K24" s="87">
        <f>payroll_schedule_tbl[[#This Row],[Salary]]-payroll_schedule_tbl[[#This Row],[Deductions]]</f>
        <v>94050</v>
      </c>
      <c r="L24" s="87">
        <f>payroll_schedule_tbl[[#This Row],[Net_Salary]]*Bonus_Percentage</f>
        <v>14107.5</v>
      </c>
      <c r="M24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14107.5</v>
      </c>
      <c r="N24" s="297" t="b">
        <v>1</v>
      </c>
      <c r="O24" s="88">
        <f>IFERROR(MIN(Bonus_Month*payroll_schedule_tbl[[#This Row],[Pay_Bonus?]], _xlfn.XMATCH(1, P24:AA24,1,-1)) * payroll_schedule_tbl[[#This Row],[Pay_Bonus?]], 0)</f>
        <v>12</v>
      </c>
      <c r="P24" s="266">
        <f>_xlfn.LET(
    _xlpm.MONTH_START, DATE(2025, COLUMN(P24)-COLUMN($P24)+1,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Q24" s="89">
        <f>_xlfn.LET(
    _xlpm.MONTH_START, DATE(2025, COLUMN(Q24)-COLUMN($P24)+1,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R24" s="89">
        <f>_xlfn.LET(
    _xlpm.MONTH_START, DATE(2025, COLUMN(R24)-COLUMN($P24)+1,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S24" s="89">
        <f>_xlfn.LET(
    _xlpm.MONTH_START, DATE(2025, COLUMN(S24)-COLUMN($P24)+1,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T24" s="89">
        <f>_xlfn.LET(
    _xlpm.MONTH_START, DATE(2025, COLUMN(T24)-COLUMN($P24)+1,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U24" s="89">
        <f>_xlfn.LET(
    _xlpm.MONTH_START, DATE(2025, COLUMN(U24)-COLUMN($P24)+1,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V24" s="89">
        <f>_xlfn.LET(
    _xlpm.MONTH_START, DATE(2025, COLUMN(V24)-COLUMN($P24)+1,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W24" s="89">
        <f>_xlfn.LET(
    _xlpm.MONTH_START, DATE(2025, COLUMN(W24)-COLUMN($P24)+1,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X24" s="89">
        <f>_xlfn.LET(
    _xlpm.MONTH_START, DATE(2025, COLUMN(X24)-COLUMN($P24)+1,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Y24" s="89">
        <f>_xlfn.LET(
    _xlpm.MONTH_START, DATE(2025, COLUMN(Y24)-COLUMN($P24)+1,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Z24" s="89">
        <f>_xlfn.LET(
    _xlpm.MONTH_START, DATE(2025, COLUMN(Z24)-COLUMN($P24)+1,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A24" s="89">
        <f>_xlfn.LET(
    _xlpm.MONTH_START, DATE(2025, COLUMN(AA24)-COLUMN($P24)+1,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B24" s="89">
        <f>_xlfn.LET(
    _xlpm.MONTH_START, DATE(2025, COLUMN(AB24)-COLUMN($P24)+1,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C24" s="268">
        <f>SUM(payroll_schedule_tbl[[#This Row],[1/31/2025]:[12/31/2025]])</f>
        <v>94050</v>
      </c>
      <c r="AE24" s="276" cm="1">
        <f t="array" ref="AE24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F24" s="214" cm="1">
        <f t="array" ref="AF24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G24" s="214" cm="1">
        <f t="array" ref="AG24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H24" s="214" cm="1">
        <f t="array" ref="AH24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I24" s="214" cm="1">
        <f t="array" ref="AI24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J24" s="214" cm="1">
        <f t="array" ref="AJ24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K24" s="214" cm="1">
        <f t="array" ref="AK24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L24" s="214" cm="1">
        <f t="array" ref="AL24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M24" s="214" cm="1">
        <f t="array" ref="AM24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N24" s="214" cm="1">
        <f t="array" ref="AN24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O24" s="214" cm="1">
        <f t="array" ref="AO24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P24" s="214" cm="1">
        <f t="array" ref="AP24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1175.625</v>
      </c>
      <c r="AQ24" s="214" cm="1">
        <f t="array" ref="AQ24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1175.625</v>
      </c>
      <c r="AR24" s="278">
        <f>SUM(bonus_accrual_forecast_tbl[[#This Row],[1/31/2025]:[12/31/2025]])</f>
        <v>14107.5</v>
      </c>
    </row>
    <row r="25" spans="2:44" ht="12.6" customHeight="1" x14ac:dyDescent="0.25">
      <c r="B25" s="5">
        <f t="shared" si="0"/>
        <v>1019</v>
      </c>
      <c r="C25" s="4" t="s">
        <v>78</v>
      </c>
      <c r="D25" s="4" t="s">
        <v>126</v>
      </c>
      <c r="E25" s="4" t="s">
        <v>13</v>
      </c>
      <c r="F25" s="297" t="b">
        <v>1</v>
      </c>
      <c r="G25" s="6">
        <v>45444</v>
      </c>
      <c r="H25" s="6">
        <v>45838</v>
      </c>
      <c r="I25" s="87">
        <v>55000</v>
      </c>
      <c r="J25" s="87">
        <f>payroll_schedule_tbl[[#This Row],[Salary]]*Salary_Deductions</f>
        <v>550</v>
      </c>
      <c r="K25" s="87">
        <f>payroll_schedule_tbl[[#This Row],[Salary]]-payroll_schedule_tbl[[#This Row],[Deductions]]</f>
        <v>54450</v>
      </c>
      <c r="L25" s="87">
        <f>payroll_schedule_tbl[[#This Row],[Net_Salary]]*Bonus_Percentage</f>
        <v>8167.5</v>
      </c>
      <c r="M25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0</v>
      </c>
      <c r="N25" s="297" t="b">
        <v>0</v>
      </c>
      <c r="O25" s="88">
        <f>IFERROR(MIN(Bonus_Month*payroll_schedule_tbl[[#This Row],[Pay_Bonus?]], _xlfn.XMATCH(1, P25:AA25,1,-1)) * payroll_schedule_tbl[[#This Row],[Pay_Bonus?]], 0)</f>
        <v>0</v>
      </c>
      <c r="P25" s="266">
        <f>_xlfn.LET(
    _xlpm.MONTH_START, DATE(2025, COLUMN(P25)-COLUMN($P25)+1,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Q25" s="89">
        <f>_xlfn.LET(
    _xlpm.MONTH_START, DATE(2025, COLUMN(Q25)-COLUMN($P25)+1,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R25" s="89">
        <f>_xlfn.LET(
    _xlpm.MONTH_START, DATE(2025, COLUMN(R25)-COLUMN($P25)+1,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S25" s="89">
        <f>_xlfn.LET(
    _xlpm.MONTH_START, DATE(2025, COLUMN(S25)-COLUMN($P25)+1,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T25" s="89">
        <f>_xlfn.LET(
    _xlpm.MONTH_START, DATE(2025, COLUMN(T25)-COLUMN($P25)+1,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U25" s="89">
        <f>_xlfn.LET(
    _xlpm.MONTH_START, DATE(2025, COLUMN(U25)-COLUMN($P25)+1,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4537.5</v>
      </c>
      <c r="V25" s="89">
        <f>_xlfn.LET(
    _xlpm.MONTH_START, DATE(2025, COLUMN(V25)-COLUMN($P25)+1,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25" s="89">
        <f>_xlfn.LET(
    _xlpm.MONTH_START, DATE(2025, COLUMN(W25)-COLUMN($P25)+1,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X25" s="89">
        <f>_xlfn.LET(
    _xlpm.MONTH_START, DATE(2025, COLUMN(X25)-COLUMN($P25)+1,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Y25" s="89">
        <f>_xlfn.LET(
    _xlpm.MONTH_START, DATE(2025, COLUMN(Y25)-COLUMN($P25)+1,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Z25" s="89">
        <f>_xlfn.LET(
    _xlpm.MONTH_START, DATE(2025, COLUMN(Z25)-COLUMN($P25)+1,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A25" s="89">
        <f>_xlfn.LET(
    _xlpm.MONTH_START, DATE(2025, COLUMN(AA25)-COLUMN($P25)+1,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B25" s="89">
        <f>_xlfn.LET(
    _xlpm.MONTH_START, DATE(2025, COLUMN(AB25)-COLUMN($P25)+1,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C25" s="268">
        <f>SUM(payroll_schedule_tbl[[#This Row],[1/31/2025]:[12/31/2025]])</f>
        <v>27225</v>
      </c>
      <c r="AE25" s="275" cm="1">
        <f t="array" ref="AE25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25" s="215" cm="1">
        <f t="array" ref="AF25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25" s="215" cm="1">
        <f t="array" ref="AG25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25" s="215" cm="1">
        <f t="array" ref="AH25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25" s="215" cm="1">
        <f t="array" ref="AI25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25" s="215" cm="1">
        <f t="array" ref="AJ25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25" s="215" cm="1">
        <f t="array" ref="AK25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25" s="215" cm="1">
        <f t="array" ref="AL25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M25" s="215" cm="1">
        <f t="array" ref="AM25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N25" s="215" cm="1">
        <f t="array" ref="AN25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O25" s="215" cm="1">
        <f t="array" ref="AO25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P25" s="215" cm="1">
        <f t="array" ref="AP25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Q25" s="215" cm="1">
        <f t="array" ref="AQ25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0</v>
      </c>
      <c r="AR25" s="279">
        <f>SUM(bonus_accrual_forecast_tbl[[#This Row],[1/31/2025]:[12/31/2025]])</f>
        <v>0</v>
      </c>
    </row>
    <row r="26" spans="2:44" ht="12.6" customHeight="1" x14ac:dyDescent="0.25">
      <c r="B26" s="5">
        <f t="shared" si="0"/>
        <v>1020</v>
      </c>
      <c r="C26" s="4" t="s">
        <v>374</v>
      </c>
      <c r="D26" s="4" t="s">
        <v>124</v>
      </c>
      <c r="E26" s="4" t="s">
        <v>13</v>
      </c>
      <c r="F26" s="297" t="b">
        <v>1</v>
      </c>
      <c r="G26" s="6">
        <v>45627</v>
      </c>
      <c r="H26" s="6"/>
      <c r="I26" s="87">
        <v>65000</v>
      </c>
      <c r="J26" s="87">
        <f>payroll_schedule_tbl[[#This Row],[Salary]]*Salary_Deductions</f>
        <v>650</v>
      </c>
      <c r="K26" s="87">
        <f>payroll_schedule_tbl[[#This Row],[Salary]]-payroll_schedule_tbl[[#This Row],[Deductions]]</f>
        <v>64350</v>
      </c>
      <c r="L26" s="87">
        <f>payroll_schedule_tbl[[#This Row],[Net_Salary]]*Bonus_Percentage</f>
        <v>9652.5</v>
      </c>
      <c r="M26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9652.5</v>
      </c>
      <c r="N26" s="297" t="b">
        <v>1</v>
      </c>
      <c r="O26" s="88">
        <f>IFERROR(MIN(Bonus_Month*payroll_schedule_tbl[[#This Row],[Pay_Bonus?]], _xlfn.XMATCH(1, P26:AA26,1,-1)) * payroll_schedule_tbl[[#This Row],[Pay_Bonus?]], 0)</f>
        <v>12</v>
      </c>
      <c r="P26" s="266">
        <f>_xlfn.LET(
    _xlpm.MONTH_START, DATE(2025, COLUMN(P26)-COLUMN($P26)+1,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Q26" s="89">
        <f>_xlfn.LET(
    _xlpm.MONTH_START, DATE(2025, COLUMN(Q26)-COLUMN($P26)+1,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R26" s="89">
        <f>_xlfn.LET(
    _xlpm.MONTH_START, DATE(2025, COLUMN(R26)-COLUMN($P26)+1,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S26" s="89">
        <f>_xlfn.LET(
    _xlpm.MONTH_START, DATE(2025, COLUMN(S26)-COLUMN($P26)+1,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T26" s="89">
        <f>_xlfn.LET(
    _xlpm.MONTH_START, DATE(2025, COLUMN(T26)-COLUMN($P26)+1,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U26" s="89">
        <f>_xlfn.LET(
    _xlpm.MONTH_START, DATE(2025, COLUMN(U26)-COLUMN($P26)+1,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V26" s="89">
        <f>_xlfn.LET(
    _xlpm.MONTH_START, DATE(2025, COLUMN(V26)-COLUMN($P26)+1,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W26" s="89">
        <f>_xlfn.LET(
    _xlpm.MONTH_START, DATE(2025, COLUMN(W26)-COLUMN($P26)+1,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X26" s="89">
        <f>_xlfn.LET(
    _xlpm.MONTH_START, DATE(2025, COLUMN(X26)-COLUMN($P26)+1,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Y26" s="89">
        <f>_xlfn.LET(
    _xlpm.MONTH_START, DATE(2025, COLUMN(Y26)-COLUMN($P26)+1,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Z26" s="89">
        <f>_xlfn.LET(
    _xlpm.MONTH_START, DATE(2025, COLUMN(Z26)-COLUMN($P26)+1,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A26" s="89">
        <f>_xlfn.LET(
    _xlpm.MONTH_START, DATE(2025, COLUMN(AA26)-COLUMN($P26)+1,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B26" s="89">
        <f>_xlfn.LET(
    _xlpm.MONTH_START, DATE(2025, COLUMN(AB26)-COLUMN($P26)+1,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C26" s="268">
        <f>SUM(payroll_schedule_tbl[[#This Row],[1/31/2025]:[12/31/2025]])</f>
        <v>64350</v>
      </c>
      <c r="AE26" s="276" cm="1">
        <f t="array" ref="AE26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F26" s="214" cm="1">
        <f t="array" ref="AF26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G26" s="214" cm="1">
        <f t="array" ref="AG26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H26" s="214" cm="1">
        <f t="array" ref="AH26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I26" s="214" cm="1">
        <f t="array" ref="AI26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J26" s="214" cm="1">
        <f t="array" ref="AJ26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K26" s="214" cm="1">
        <f t="array" ref="AK26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L26" s="214" cm="1">
        <f t="array" ref="AL26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M26" s="214" cm="1">
        <f t="array" ref="AM26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N26" s="214" cm="1">
        <f t="array" ref="AN26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O26" s="214" cm="1">
        <f t="array" ref="AO26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P26" s="214" cm="1">
        <f t="array" ref="AP26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804.375</v>
      </c>
      <c r="AQ26" s="214" cm="1">
        <f t="array" ref="AQ26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804.375</v>
      </c>
      <c r="AR26" s="278">
        <f>SUM(bonus_accrual_forecast_tbl[[#This Row],[1/31/2025]:[12/31/2025]])</f>
        <v>9652.5</v>
      </c>
    </row>
    <row r="27" spans="2:44" ht="12.6" customHeight="1" x14ac:dyDescent="0.25">
      <c r="B27" s="5">
        <f t="shared" si="0"/>
        <v>1021</v>
      </c>
      <c r="C27" s="4" t="s">
        <v>37</v>
      </c>
      <c r="D27" s="4" t="s">
        <v>123</v>
      </c>
      <c r="E27" s="4" t="s">
        <v>38</v>
      </c>
      <c r="F27" s="297" t="b">
        <v>1</v>
      </c>
      <c r="G27" s="6">
        <v>45658</v>
      </c>
      <c r="H27" s="6">
        <v>45747</v>
      </c>
      <c r="I27" s="87">
        <v>90000</v>
      </c>
      <c r="J27" s="87">
        <f>payroll_schedule_tbl[[#This Row],[Salary]]*Salary_Deductions</f>
        <v>900</v>
      </c>
      <c r="K27" s="87">
        <f>payroll_schedule_tbl[[#This Row],[Salary]]-payroll_schedule_tbl[[#This Row],[Deductions]]</f>
        <v>89100</v>
      </c>
      <c r="L27" s="87">
        <f>payroll_schedule_tbl[[#This Row],[Net_Salary]]*Bonus_Percentage</f>
        <v>13365</v>
      </c>
      <c r="M27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3378.375</v>
      </c>
      <c r="N27" s="297" t="b">
        <v>1</v>
      </c>
      <c r="O27" s="88">
        <f>IFERROR(MIN(Bonus_Month*payroll_schedule_tbl[[#This Row],[Pay_Bonus?]], _xlfn.XMATCH(1, P27:AA27,1,-1)) * payroll_schedule_tbl[[#This Row],[Pay_Bonus?]], 0)</f>
        <v>3</v>
      </c>
      <c r="P27" s="266">
        <f>_xlfn.LET(
    _xlpm.MONTH_START, DATE(2025, COLUMN(P27)-COLUMN($P27)+1,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7425</v>
      </c>
      <c r="Q27" s="89">
        <f>_xlfn.LET(
    _xlpm.MONTH_START, DATE(2025, COLUMN(Q27)-COLUMN($P27)+1,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7425</v>
      </c>
      <c r="R27" s="89">
        <f>_xlfn.LET(
    _xlpm.MONTH_START, DATE(2025, COLUMN(R27)-COLUMN($P27)+1,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7425</v>
      </c>
      <c r="S27" s="89">
        <f>_xlfn.LET(
    _xlpm.MONTH_START, DATE(2025, COLUMN(S27)-COLUMN($P27)+1,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27" s="89">
        <f>_xlfn.LET(
    _xlpm.MONTH_START, DATE(2025, COLUMN(T27)-COLUMN($P27)+1,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27" s="89">
        <f>_xlfn.LET(
    _xlpm.MONTH_START, DATE(2025, COLUMN(U27)-COLUMN($P27)+1,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27" s="89">
        <f>_xlfn.LET(
    _xlpm.MONTH_START, DATE(2025, COLUMN(V27)-COLUMN($P27)+1,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27" s="89">
        <f>_xlfn.LET(
    _xlpm.MONTH_START, DATE(2025, COLUMN(W27)-COLUMN($P27)+1,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X27" s="89">
        <f>_xlfn.LET(
    _xlpm.MONTH_START, DATE(2025, COLUMN(X27)-COLUMN($P27)+1,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Y27" s="89">
        <f>_xlfn.LET(
    _xlpm.MONTH_START, DATE(2025, COLUMN(Y27)-COLUMN($P27)+1,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Z27" s="89">
        <f>_xlfn.LET(
    _xlpm.MONTH_START, DATE(2025, COLUMN(Z27)-COLUMN($P27)+1,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A27" s="89">
        <f>_xlfn.LET(
    _xlpm.MONTH_START, DATE(2025, COLUMN(AA27)-COLUMN($P27)+1,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B27" s="89">
        <f>_xlfn.LET(
    _xlpm.MONTH_START, DATE(2025, COLUMN(AB27)-COLUMN($P27)+1,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C27" s="268">
        <f>SUM(payroll_schedule_tbl[[#This Row],[1/31/2025]:[12/31/2025]])</f>
        <v>22275</v>
      </c>
      <c r="AE27" s="275" cm="1">
        <f t="array" ref="AE27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1126.125</v>
      </c>
      <c r="AF27" s="215" cm="1">
        <f t="array" ref="AF27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1126.125</v>
      </c>
      <c r="AG27" s="215" cm="1">
        <f t="array" ref="AG27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1126.125</v>
      </c>
      <c r="AH27" s="215" cm="1">
        <f t="array" ref="AH27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27" s="215" cm="1">
        <f t="array" ref="AI27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27" s="215" cm="1">
        <f t="array" ref="AJ27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27" s="215" cm="1">
        <f t="array" ref="AK27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27" s="215" cm="1">
        <f t="array" ref="AL27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M27" s="215" cm="1">
        <f t="array" ref="AM27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N27" s="215" cm="1">
        <f t="array" ref="AN27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O27" s="215" cm="1">
        <f t="array" ref="AO27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P27" s="215" cm="1">
        <f t="array" ref="AP27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Q27" s="215" cm="1">
        <f t="array" ref="AQ27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0</v>
      </c>
      <c r="AR27" s="279">
        <f>SUM(bonus_accrual_forecast_tbl[[#This Row],[1/31/2025]:[12/31/2025]])</f>
        <v>3378.375</v>
      </c>
    </row>
    <row r="28" spans="2:44" ht="12.6" customHeight="1" x14ac:dyDescent="0.25">
      <c r="B28" s="5">
        <f t="shared" si="0"/>
        <v>1022</v>
      </c>
      <c r="C28" s="4" t="s">
        <v>45</v>
      </c>
      <c r="D28" s="4" t="s">
        <v>128</v>
      </c>
      <c r="E28" s="4" t="s">
        <v>35</v>
      </c>
      <c r="F28" s="300" t="b">
        <v>1</v>
      </c>
      <c r="G28" s="6">
        <v>45658</v>
      </c>
      <c r="H28" s="6">
        <v>45930</v>
      </c>
      <c r="I28" s="87">
        <v>150000</v>
      </c>
      <c r="J28" s="87">
        <f>payroll_schedule_tbl[[#This Row],[Salary]]*Salary_Deductions</f>
        <v>1500</v>
      </c>
      <c r="K28" s="87">
        <f>payroll_schedule_tbl[[#This Row],[Salary]]-payroll_schedule_tbl[[#This Row],[Deductions]]</f>
        <v>148500</v>
      </c>
      <c r="L28" s="87">
        <f>payroll_schedule_tbl[[#This Row],[Net_Salary]]*Bonus_Percentage</f>
        <v>22275</v>
      </c>
      <c r="M28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16706.25</v>
      </c>
      <c r="N28" s="297" t="b">
        <v>1</v>
      </c>
      <c r="O28" s="88">
        <f>IFERROR(MIN(Bonus_Month*payroll_schedule_tbl[[#This Row],[Pay_Bonus?]], _xlfn.XMATCH(1, P28:AA28,1,-1)) * payroll_schedule_tbl[[#This Row],[Pay_Bonus?]], 0)</f>
        <v>9</v>
      </c>
      <c r="P28" s="266">
        <f>_xlfn.LET(
    _xlpm.MONTH_START, DATE(2025, COLUMN(P28)-COLUMN($P28)+1,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Q28" s="89">
        <f>_xlfn.LET(
    _xlpm.MONTH_START, DATE(2025, COLUMN(Q28)-COLUMN($P28)+1,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R28" s="89">
        <f>_xlfn.LET(
    _xlpm.MONTH_START, DATE(2025, COLUMN(R28)-COLUMN($P28)+1,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S28" s="89">
        <f>_xlfn.LET(
    _xlpm.MONTH_START, DATE(2025, COLUMN(S28)-COLUMN($P28)+1,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T28" s="89">
        <f>_xlfn.LET(
    _xlpm.MONTH_START, DATE(2025, COLUMN(T28)-COLUMN($P28)+1,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U28" s="89">
        <f>_xlfn.LET(
    _xlpm.MONTH_START, DATE(2025, COLUMN(U28)-COLUMN($P28)+1,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V28" s="89">
        <f>_xlfn.LET(
    _xlpm.MONTH_START, DATE(2025, COLUMN(V28)-COLUMN($P28)+1,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W28" s="89">
        <f>_xlfn.LET(
    _xlpm.MONTH_START, DATE(2025, COLUMN(W28)-COLUMN($P28)+1,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X28" s="89">
        <f>_xlfn.LET(
    _xlpm.MONTH_START, DATE(2025, COLUMN(X28)-COLUMN($P28)+1,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12375</v>
      </c>
      <c r="Y28" s="89">
        <f>_xlfn.LET(
    _xlpm.MONTH_START, DATE(2025, COLUMN(Y28)-COLUMN($P28)+1,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Z28" s="89">
        <f>_xlfn.LET(
    _xlpm.MONTH_START, DATE(2025, COLUMN(Z28)-COLUMN($P28)+1,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A28" s="89">
        <f>_xlfn.LET(
    _xlpm.MONTH_START, DATE(2025, COLUMN(AA28)-COLUMN($P28)+1,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B28" s="89">
        <f>_xlfn.LET(
    _xlpm.MONTH_START, DATE(2025, COLUMN(AB28)-COLUMN($P28)+1,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AC28" s="268">
        <f>SUM(payroll_schedule_tbl[[#This Row],[1/31/2025]:[12/31/2025]])</f>
        <v>111375</v>
      </c>
      <c r="AE28" s="276" cm="1">
        <f t="array" ref="AE28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F28" s="214" cm="1">
        <f t="array" ref="AF28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G28" s="214" cm="1">
        <f t="array" ref="AG28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H28" s="214" cm="1">
        <f t="array" ref="AH28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I28" s="214" cm="1">
        <f t="array" ref="AI28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J28" s="214" cm="1">
        <f t="array" ref="AJ28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K28" s="214" cm="1">
        <f t="array" ref="AK28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L28" s="214" cm="1">
        <f t="array" ref="AL28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M28" s="214" cm="1">
        <f t="array" ref="AM28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1856.25</v>
      </c>
      <c r="AN28" s="214" cm="1">
        <f t="array" ref="AN28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O28" s="214" cm="1">
        <f t="array" ref="AO28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P28" s="214" cm="1">
        <f t="array" ref="AP28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Q28" s="214" cm="1">
        <f t="array" ref="AQ28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0</v>
      </c>
      <c r="AR28" s="278">
        <f>SUM(bonus_accrual_forecast_tbl[[#This Row],[1/31/2025]:[12/31/2025]])</f>
        <v>16706.25</v>
      </c>
    </row>
    <row r="29" spans="2:44" s="307" customFormat="1" ht="12.6" customHeight="1" x14ac:dyDescent="0.25">
      <c r="B29" s="298">
        <f t="shared" si="0"/>
        <v>1023</v>
      </c>
      <c r="C29" s="299" t="s">
        <v>116</v>
      </c>
      <c r="D29" s="299" t="s">
        <v>118</v>
      </c>
      <c r="E29" s="299" t="s">
        <v>119</v>
      </c>
      <c r="F29" s="332" t="b">
        <f>Assumptions!$E$9</f>
        <v>1</v>
      </c>
      <c r="G29" s="301">
        <v>45658</v>
      </c>
      <c r="H29" s="301"/>
      <c r="I29" s="302">
        <v>75000</v>
      </c>
      <c r="J29" s="302">
        <f>payroll_schedule_tbl[[#This Row],[Salary]]*Salary_Deductions</f>
        <v>750</v>
      </c>
      <c r="K29" s="302">
        <f>payroll_schedule_tbl[[#This Row],[Salary]]-payroll_schedule_tbl[[#This Row],[Deductions]]</f>
        <v>74250</v>
      </c>
      <c r="L29" s="302">
        <f>payroll_schedule_tbl[[#This Row],[Net_Salary]]*Bonus_Percentage</f>
        <v>11137.5</v>
      </c>
      <c r="M29" s="302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11137.5</v>
      </c>
      <c r="N29" s="300" t="b">
        <v>1</v>
      </c>
      <c r="O29" s="303">
        <f>IFERROR(MIN(Bonus_Month*payroll_schedule_tbl[[#This Row],[Pay_Bonus?]], _xlfn.XMATCH(1, P29:AA29,1,-1)) * payroll_schedule_tbl[[#This Row],[Pay_Bonus?]], 0)</f>
        <v>12</v>
      </c>
      <c r="P29" s="304">
        <f>_xlfn.LET(
    _xlpm.MONTH_START, DATE(2025, COLUMN(P29)-COLUMN($P29)+1,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Q29" s="305">
        <f>_xlfn.LET(
    _xlpm.MONTH_START, DATE(2025, COLUMN(Q29)-COLUMN($P29)+1,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R29" s="305">
        <f>_xlfn.LET(
    _xlpm.MONTH_START, DATE(2025, COLUMN(R29)-COLUMN($P29)+1,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S29" s="305">
        <f>_xlfn.LET(
    _xlpm.MONTH_START, DATE(2025, COLUMN(S29)-COLUMN($P29)+1,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T29" s="305">
        <f>_xlfn.LET(
    _xlpm.MONTH_START, DATE(2025, COLUMN(T29)-COLUMN($P29)+1,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U29" s="305">
        <f>_xlfn.LET(
    _xlpm.MONTH_START, DATE(2025, COLUMN(U29)-COLUMN($P29)+1,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V29" s="305">
        <f>_xlfn.LET(
    _xlpm.MONTH_START, DATE(2025, COLUMN(V29)-COLUMN($P29)+1,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W29" s="305">
        <f>_xlfn.LET(
    _xlpm.MONTH_START, DATE(2025, COLUMN(W29)-COLUMN($P29)+1,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X29" s="305">
        <f>_xlfn.LET(
    _xlpm.MONTH_START, DATE(2025, COLUMN(X29)-COLUMN($P29)+1,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Y29" s="305">
        <f>_xlfn.LET(
    _xlpm.MONTH_START, DATE(2025, COLUMN(Y29)-COLUMN($P29)+1,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Z29" s="305">
        <f>_xlfn.LET(
    _xlpm.MONTH_START, DATE(2025, COLUMN(Z29)-COLUMN($P29)+1,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A29" s="305">
        <f>_xlfn.LET(
    _xlpm.MONTH_START, DATE(2025, COLUMN(AA29)-COLUMN($P29)+1,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B29" s="305">
        <f>_xlfn.LET(
    _xlpm.MONTH_START, DATE(2025, COLUMN(AB29)-COLUMN($P29)+1,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6187.5</v>
      </c>
      <c r="AC29" s="306">
        <f>SUM(payroll_schedule_tbl[[#This Row],[1/31/2025]:[12/31/2025]])</f>
        <v>74250</v>
      </c>
      <c r="AE29" s="308" cm="1">
        <f t="array" ref="AE29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F29" s="309" cm="1">
        <f t="array" ref="AF29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G29" s="309" cm="1">
        <f t="array" ref="AG29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H29" s="309" cm="1">
        <f t="array" ref="AH29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I29" s="309" cm="1">
        <f t="array" ref="AI29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J29" s="309" cm="1">
        <f t="array" ref="AJ29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K29" s="309" cm="1">
        <f t="array" ref="AK29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L29" s="309" cm="1">
        <f t="array" ref="AL29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M29" s="309" cm="1">
        <f t="array" ref="AM29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N29" s="309" cm="1">
        <f t="array" ref="AN29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O29" s="309" cm="1">
        <f t="array" ref="AO29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P29" s="309" cm="1">
        <f t="array" ref="AP29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928.125</v>
      </c>
      <c r="AQ29" s="309" cm="1">
        <f t="array" ref="AQ29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928.125</v>
      </c>
      <c r="AR29" s="310">
        <f>SUM(bonus_accrual_forecast_tbl[[#This Row],[1/31/2025]:[12/31/2025]])</f>
        <v>11137.5</v>
      </c>
    </row>
    <row r="30" spans="2:44" ht="12.6" customHeight="1" x14ac:dyDescent="0.25">
      <c r="B30" s="5">
        <f t="shared" si="0"/>
        <v>1024</v>
      </c>
      <c r="C30" s="4" t="s">
        <v>116</v>
      </c>
      <c r="D30" s="4" t="s">
        <v>120</v>
      </c>
      <c r="E30" s="4" t="s">
        <v>51</v>
      </c>
      <c r="F30" s="300" t="b">
        <v>1</v>
      </c>
      <c r="G30" s="6">
        <v>45658</v>
      </c>
      <c r="H30" s="6"/>
      <c r="I30" s="87">
        <v>70000</v>
      </c>
      <c r="J30" s="87">
        <f>payroll_schedule_tbl[[#This Row],[Salary]]*Salary_Deductions</f>
        <v>700</v>
      </c>
      <c r="K30" s="87">
        <f>payroll_schedule_tbl[[#This Row],[Salary]]-payroll_schedule_tbl[[#This Row],[Deductions]]</f>
        <v>69300</v>
      </c>
      <c r="L30" s="87">
        <f>payroll_schedule_tbl[[#This Row],[Net_Salary]]*Bonus_Percentage</f>
        <v>10395</v>
      </c>
      <c r="M30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10395</v>
      </c>
      <c r="N30" s="297" t="b">
        <v>1</v>
      </c>
      <c r="O30" s="88">
        <f>IFERROR(MIN(Bonus_Month*payroll_schedule_tbl[[#This Row],[Pay_Bonus?]], _xlfn.XMATCH(1, P30:AA30,1,-1)) * payroll_schedule_tbl[[#This Row],[Pay_Bonus?]], 0)</f>
        <v>12</v>
      </c>
      <c r="P30" s="266">
        <f>_xlfn.LET(
    _xlpm.MONTH_START, DATE(2025, COLUMN(P30)-COLUMN($P30)+1,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Q30" s="89">
        <f>_xlfn.LET(
    _xlpm.MONTH_START, DATE(2025, COLUMN(Q30)-COLUMN($P30)+1,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R30" s="89">
        <f>_xlfn.LET(
    _xlpm.MONTH_START, DATE(2025, COLUMN(R30)-COLUMN($P30)+1,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S30" s="89">
        <f>_xlfn.LET(
    _xlpm.MONTH_START, DATE(2025, COLUMN(S30)-COLUMN($P30)+1,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T30" s="89">
        <f>_xlfn.LET(
    _xlpm.MONTH_START, DATE(2025, COLUMN(T30)-COLUMN($P30)+1,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U30" s="89">
        <f>_xlfn.LET(
    _xlpm.MONTH_START, DATE(2025, COLUMN(U30)-COLUMN($P30)+1,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V30" s="89">
        <f>_xlfn.LET(
    _xlpm.MONTH_START, DATE(2025, COLUMN(V30)-COLUMN($P30)+1,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W30" s="89">
        <f>_xlfn.LET(
    _xlpm.MONTH_START, DATE(2025, COLUMN(W30)-COLUMN($P30)+1,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X30" s="89">
        <f>_xlfn.LET(
    _xlpm.MONTH_START, DATE(2025, COLUMN(X30)-COLUMN($P30)+1,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Y30" s="89">
        <f>_xlfn.LET(
    _xlpm.MONTH_START, DATE(2025, COLUMN(Y30)-COLUMN($P30)+1,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Z30" s="89">
        <f>_xlfn.LET(
    _xlpm.MONTH_START, DATE(2025, COLUMN(Z30)-COLUMN($P30)+1,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A30" s="89">
        <f>_xlfn.LET(
    _xlpm.MONTH_START, DATE(2025, COLUMN(AA30)-COLUMN($P30)+1,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B30" s="89">
        <f>_xlfn.LET(
    _xlpm.MONTH_START, DATE(2025, COLUMN(AB30)-COLUMN($P30)+1,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C30" s="268">
        <f>SUM(payroll_schedule_tbl[[#This Row],[1/31/2025]:[12/31/2025]])</f>
        <v>69300</v>
      </c>
      <c r="AE30" s="276" cm="1">
        <f t="array" ref="AE30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F30" s="214" cm="1">
        <f t="array" ref="AF30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G30" s="214" cm="1">
        <f t="array" ref="AG30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H30" s="214" cm="1">
        <f t="array" ref="AH30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I30" s="214" cm="1">
        <f t="array" ref="AI30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J30" s="214" cm="1">
        <f t="array" ref="AJ30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K30" s="214" cm="1">
        <f t="array" ref="AK30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L30" s="214" cm="1">
        <f t="array" ref="AL30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M30" s="214" cm="1">
        <f t="array" ref="AM30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N30" s="214" cm="1">
        <f t="array" ref="AN30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O30" s="214" cm="1">
        <f t="array" ref="AO30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P30" s="214" cm="1">
        <f t="array" ref="AP30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866.25</v>
      </c>
      <c r="AQ30" s="214" cm="1">
        <f t="array" ref="AQ30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866.25</v>
      </c>
      <c r="AR30" s="278">
        <f>SUM(bonus_accrual_forecast_tbl[[#This Row],[1/31/2025]:[12/31/2025]])</f>
        <v>10395</v>
      </c>
    </row>
    <row r="31" spans="2:44" s="307" customFormat="1" ht="12.6" customHeight="1" x14ac:dyDescent="0.25">
      <c r="B31" s="298">
        <f t="shared" si="0"/>
        <v>1025</v>
      </c>
      <c r="C31" s="299" t="s">
        <v>116</v>
      </c>
      <c r="D31" s="299" t="s">
        <v>121</v>
      </c>
      <c r="E31" s="299" t="s">
        <v>119</v>
      </c>
      <c r="F31" s="332" t="b">
        <f>Assumptions!$E$9</f>
        <v>1</v>
      </c>
      <c r="G31" s="301">
        <v>45748</v>
      </c>
      <c r="H31" s="301"/>
      <c r="I31" s="302">
        <v>80000</v>
      </c>
      <c r="J31" s="302">
        <f>payroll_schedule_tbl[[#This Row],[Salary]]*Salary_Deductions</f>
        <v>800</v>
      </c>
      <c r="K31" s="302">
        <f>payroll_schedule_tbl[[#This Row],[Salary]]-payroll_schedule_tbl[[#This Row],[Deductions]]</f>
        <v>79200</v>
      </c>
      <c r="L31" s="302">
        <f>payroll_schedule_tbl[[#This Row],[Net_Salary]]*Bonus_Percentage</f>
        <v>11880</v>
      </c>
      <c r="M31" s="302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11880</v>
      </c>
      <c r="N31" s="300" t="b">
        <v>1</v>
      </c>
      <c r="O31" s="303">
        <f>IFERROR(MIN(Bonus_Month*payroll_schedule_tbl[[#This Row],[Pay_Bonus?]], _xlfn.XMATCH(1, P31:AA31,1,-1)) * payroll_schedule_tbl[[#This Row],[Pay_Bonus?]], 0)</f>
        <v>12</v>
      </c>
      <c r="P31" s="304">
        <f>_xlfn.LET(
    _xlpm.MONTH_START, DATE(2025, COLUMN(P31)-COLUMN($P31)+1,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1" s="305">
        <f>_xlfn.LET(
    _xlpm.MONTH_START, DATE(2025, COLUMN(Q31)-COLUMN($P31)+1,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1" s="305">
        <f>_xlfn.LET(
    _xlpm.MONTH_START, DATE(2025, COLUMN(R31)-COLUMN($P31)+1,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1" s="305">
        <f>_xlfn.LET(
    _xlpm.MONTH_START, DATE(2025, COLUMN(S31)-COLUMN($P31)+1,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T31" s="305">
        <f>_xlfn.LET(
    _xlpm.MONTH_START, DATE(2025, COLUMN(T31)-COLUMN($P31)+1,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U31" s="305">
        <f>_xlfn.LET(
    _xlpm.MONTH_START, DATE(2025, COLUMN(U31)-COLUMN($P31)+1,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V31" s="305">
        <f>_xlfn.LET(
    _xlpm.MONTH_START, DATE(2025, COLUMN(V31)-COLUMN($P31)+1,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W31" s="305">
        <f>_xlfn.LET(
    _xlpm.MONTH_START, DATE(2025, COLUMN(W31)-COLUMN($P31)+1,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X31" s="305">
        <f>_xlfn.LET(
    _xlpm.MONTH_START, DATE(2025, COLUMN(X31)-COLUMN($P31)+1,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Y31" s="305">
        <f>_xlfn.LET(
    _xlpm.MONTH_START, DATE(2025, COLUMN(Y31)-COLUMN($P31)+1,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Z31" s="305">
        <f>_xlfn.LET(
    _xlpm.MONTH_START, DATE(2025, COLUMN(Z31)-COLUMN($P31)+1,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AA31" s="305">
        <f>_xlfn.LET(
    _xlpm.MONTH_START, DATE(2025, COLUMN(AA31)-COLUMN($P31)+1,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AB31" s="305">
        <f>_xlfn.LET(
    _xlpm.MONTH_START, DATE(2025, COLUMN(AB31)-COLUMN($P31)+1,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6600</v>
      </c>
      <c r="AC31" s="306">
        <f>SUM(payroll_schedule_tbl[[#This Row],[1/31/2025]:[12/31/2025]])</f>
        <v>59400</v>
      </c>
      <c r="AE31" s="308" cm="1">
        <f t="array" ref="AE31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1" s="309" cm="1">
        <f t="array" ref="AF31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1" s="309" cm="1">
        <f t="array" ref="AG31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1" s="309" cm="1">
        <f t="array" ref="AH31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I31" s="309" cm="1">
        <f t="array" ref="AI31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J31" s="309" cm="1">
        <f t="array" ref="AJ31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K31" s="309" cm="1">
        <f t="array" ref="AK31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L31" s="309" cm="1">
        <f t="array" ref="AL31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M31" s="309" cm="1">
        <f t="array" ref="AM31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N31" s="309" cm="1">
        <f t="array" ref="AN31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O31" s="309" cm="1">
        <f t="array" ref="AO31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P31" s="309" cm="1">
        <f t="array" ref="AP31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1320</v>
      </c>
      <c r="AQ31" s="309" cm="1">
        <f t="array" ref="AQ31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1188</v>
      </c>
      <c r="AR31" s="310">
        <f>SUM(bonus_accrual_forecast_tbl[[#This Row],[1/31/2025]:[12/31/2025]])</f>
        <v>11880</v>
      </c>
    </row>
    <row r="32" spans="2:44" ht="12.6" customHeight="1" x14ac:dyDescent="0.25">
      <c r="B32" s="5">
        <f t="shared" si="0"/>
        <v>1026</v>
      </c>
      <c r="C32" s="4" t="s">
        <v>116</v>
      </c>
      <c r="D32" s="4" t="s">
        <v>438</v>
      </c>
      <c r="E32" s="4" t="s">
        <v>119</v>
      </c>
      <c r="F32" s="332" t="b">
        <f>Assumptions!$E$9</f>
        <v>1</v>
      </c>
      <c r="G32" s="6">
        <v>45748</v>
      </c>
      <c r="H32" s="6"/>
      <c r="I32" s="87">
        <v>70000</v>
      </c>
      <c r="J32" s="87">
        <f>payroll_schedule_tbl[[#This Row],[Salary]]*Salary_Deductions</f>
        <v>700</v>
      </c>
      <c r="K32" s="87">
        <f>payroll_schedule_tbl[[#This Row],[Salary]]-payroll_schedule_tbl[[#This Row],[Deductions]]</f>
        <v>69300</v>
      </c>
      <c r="L32" s="87">
        <f>payroll_schedule_tbl[[#This Row],[Net_Salary]]*Bonus_Percentage</f>
        <v>10395</v>
      </c>
      <c r="M32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10395</v>
      </c>
      <c r="N32" s="297" t="b">
        <v>1</v>
      </c>
      <c r="O32" s="88">
        <f>IFERROR(MIN(Bonus_Month*payroll_schedule_tbl[[#This Row],[Pay_Bonus?]], _xlfn.XMATCH(1, P32:AA32,1,-1)) * payroll_schedule_tbl[[#This Row],[Pay_Bonus?]], 0)</f>
        <v>12</v>
      </c>
      <c r="P32" s="266">
        <f>_xlfn.LET(
    _xlpm.MONTH_START, DATE(2025, COLUMN(P32)-COLUMN($P32)+1,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2" s="89">
        <f>_xlfn.LET(
    _xlpm.MONTH_START, DATE(2025, COLUMN(Q32)-COLUMN($P32)+1,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2" s="89">
        <f>_xlfn.LET(
    _xlpm.MONTH_START, DATE(2025, COLUMN(R32)-COLUMN($P32)+1,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2" s="89">
        <f>_xlfn.LET(
    _xlpm.MONTH_START, DATE(2025, COLUMN(S32)-COLUMN($P32)+1,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T32" s="89">
        <f>_xlfn.LET(
    _xlpm.MONTH_START, DATE(2025, COLUMN(T32)-COLUMN($P32)+1,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U32" s="89">
        <f>_xlfn.LET(
    _xlpm.MONTH_START, DATE(2025, COLUMN(U32)-COLUMN($P32)+1,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V32" s="89">
        <f>_xlfn.LET(
    _xlpm.MONTH_START, DATE(2025, COLUMN(V32)-COLUMN($P32)+1,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W32" s="89">
        <f>_xlfn.LET(
    _xlpm.MONTH_START, DATE(2025, COLUMN(W32)-COLUMN($P32)+1,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X32" s="89">
        <f>_xlfn.LET(
    _xlpm.MONTH_START, DATE(2025, COLUMN(X32)-COLUMN($P32)+1,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Y32" s="89">
        <f>_xlfn.LET(
    _xlpm.MONTH_START, DATE(2025, COLUMN(Y32)-COLUMN($P32)+1,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Z32" s="89">
        <f>_xlfn.LET(
    _xlpm.MONTH_START, DATE(2025, COLUMN(Z32)-COLUMN($P32)+1,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A32" s="89">
        <f>_xlfn.LET(
    _xlpm.MONTH_START, DATE(2025, COLUMN(AA32)-COLUMN($P32)+1,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B32" s="89">
        <f>_xlfn.LET(
    _xlpm.MONTH_START, DATE(2025, COLUMN(AB32)-COLUMN($P32)+1,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C32" s="268">
        <f>SUM(payroll_schedule_tbl[[#This Row],[1/31/2025]:[12/31/2025]])</f>
        <v>51975</v>
      </c>
      <c r="AE32" s="276" cm="1">
        <f t="array" ref="AE32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2" s="214" cm="1">
        <f t="array" ref="AF32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2" s="214" cm="1">
        <f t="array" ref="AG32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2" s="214" cm="1">
        <f t="array" ref="AH32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I32" s="214" cm="1">
        <f t="array" ref="AI32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J32" s="214" cm="1">
        <f t="array" ref="AJ32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K32" s="214" cm="1">
        <f t="array" ref="AK32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L32" s="214" cm="1">
        <f t="array" ref="AL32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M32" s="214" cm="1">
        <f t="array" ref="AM32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N32" s="214" cm="1">
        <f t="array" ref="AN32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O32" s="214" cm="1">
        <f t="array" ref="AO32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P32" s="214" cm="1">
        <f t="array" ref="AP32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1155</v>
      </c>
      <c r="AQ32" s="214" cm="1">
        <f t="array" ref="AQ32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1039.5</v>
      </c>
      <c r="AR32" s="278">
        <f>SUM(bonus_accrual_forecast_tbl[[#This Row],[1/31/2025]:[12/31/2025]])</f>
        <v>10395</v>
      </c>
    </row>
    <row r="33" spans="2:44" ht="12.6" customHeight="1" x14ac:dyDescent="0.25">
      <c r="B33" s="5">
        <f t="shared" si="0"/>
        <v>1027</v>
      </c>
      <c r="C33" s="4" t="s">
        <v>116</v>
      </c>
      <c r="D33" s="4" t="s">
        <v>130</v>
      </c>
      <c r="E33" s="4" t="s">
        <v>51</v>
      </c>
      <c r="F33" s="300" t="b">
        <v>1</v>
      </c>
      <c r="G33" s="6">
        <v>45778</v>
      </c>
      <c r="H33" s="6"/>
      <c r="I33" s="87">
        <v>45000</v>
      </c>
      <c r="J33" s="87">
        <f>payroll_schedule_tbl[[#This Row],[Salary]]*Salary_Deductions</f>
        <v>450</v>
      </c>
      <c r="K33" s="87">
        <f>payroll_schedule_tbl[[#This Row],[Salary]]-payroll_schedule_tbl[[#This Row],[Deductions]]</f>
        <v>44550</v>
      </c>
      <c r="L33" s="87">
        <f>payroll_schedule_tbl[[#This Row],[Net_Salary]]*Bonus_Percentage</f>
        <v>6682.5</v>
      </c>
      <c r="M33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6682.5</v>
      </c>
      <c r="N33" s="297" t="b">
        <v>1</v>
      </c>
      <c r="O33" s="88">
        <f>IFERROR(MIN(Bonus_Month*payroll_schedule_tbl[[#This Row],[Pay_Bonus?]], _xlfn.XMATCH(1, P33:AA33,1,-1)) * payroll_schedule_tbl[[#This Row],[Pay_Bonus?]], 0)</f>
        <v>12</v>
      </c>
      <c r="P33" s="266">
        <f>_xlfn.LET(
    _xlpm.MONTH_START, DATE(2025, COLUMN(P33)-COLUMN($P33)+1,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3" s="89">
        <f>_xlfn.LET(
    _xlpm.MONTH_START, DATE(2025, COLUMN(Q33)-COLUMN($P33)+1,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3" s="89">
        <f>_xlfn.LET(
    _xlpm.MONTH_START, DATE(2025, COLUMN(R33)-COLUMN($P33)+1,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3" s="89">
        <f>_xlfn.LET(
    _xlpm.MONTH_START, DATE(2025, COLUMN(S33)-COLUMN($P33)+1,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3" s="89">
        <f>_xlfn.LET(
    _xlpm.MONTH_START, DATE(2025, COLUMN(T33)-COLUMN($P33)+1,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U33" s="89">
        <f>_xlfn.LET(
    _xlpm.MONTH_START, DATE(2025, COLUMN(U33)-COLUMN($P33)+1,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V33" s="89">
        <f>_xlfn.LET(
    _xlpm.MONTH_START, DATE(2025, COLUMN(V33)-COLUMN($P33)+1,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W33" s="89">
        <f>_xlfn.LET(
    _xlpm.MONTH_START, DATE(2025, COLUMN(W33)-COLUMN($P33)+1,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X33" s="89">
        <f>_xlfn.LET(
    _xlpm.MONTH_START, DATE(2025, COLUMN(X33)-COLUMN($P33)+1,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Y33" s="89">
        <f>_xlfn.LET(
    _xlpm.MONTH_START, DATE(2025, COLUMN(Y33)-COLUMN($P33)+1,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Z33" s="89">
        <f>_xlfn.LET(
    _xlpm.MONTH_START, DATE(2025, COLUMN(Z33)-COLUMN($P33)+1,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AA33" s="89">
        <f>_xlfn.LET(
    _xlpm.MONTH_START, DATE(2025, COLUMN(AA33)-COLUMN($P33)+1,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AB33" s="89">
        <f>_xlfn.LET(
    _xlpm.MONTH_START, DATE(2025, COLUMN(AB33)-COLUMN($P33)+1,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3712.5</v>
      </c>
      <c r="AC33" s="268">
        <f>SUM(payroll_schedule_tbl[[#This Row],[1/31/2025]:[12/31/2025]])</f>
        <v>29700</v>
      </c>
      <c r="AE33" s="275" cm="1">
        <f t="array" ref="AE33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3" s="215" cm="1">
        <f t="array" ref="AF33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3" s="215" cm="1">
        <f t="array" ref="AG33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3" s="215" cm="1">
        <f t="array" ref="AH33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3" s="215" cm="1">
        <f t="array" ref="AI33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J33" s="215" cm="1">
        <f t="array" ref="AJ33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K33" s="215" cm="1">
        <f t="array" ref="AK33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L33" s="215" cm="1">
        <f t="array" ref="AL33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M33" s="215" cm="1">
        <f t="array" ref="AM33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N33" s="215" cm="1">
        <f t="array" ref="AN33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O33" s="215" cm="1">
        <f t="array" ref="AO33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P33" s="215" cm="1">
        <f t="array" ref="AP33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835.3125</v>
      </c>
      <c r="AQ33" s="215" cm="1">
        <f t="array" ref="AQ33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742.5</v>
      </c>
      <c r="AR33" s="279">
        <f>SUM(bonus_accrual_forecast_tbl[[#This Row],[1/31/2025]:[12/31/2025]])</f>
        <v>6682.5</v>
      </c>
    </row>
    <row r="34" spans="2:44" s="307" customFormat="1" ht="12.6" customHeight="1" x14ac:dyDescent="0.25">
      <c r="B34" s="298">
        <f t="shared" si="0"/>
        <v>1028</v>
      </c>
      <c r="C34" s="299" t="s">
        <v>116</v>
      </c>
      <c r="D34" s="299" t="s">
        <v>124</v>
      </c>
      <c r="E34" s="299" t="s">
        <v>13</v>
      </c>
      <c r="F34" s="332" t="b">
        <f>Assumptions!$E$9</f>
        <v>1</v>
      </c>
      <c r="G34" s="301">
        <v>45809</v>
      </c>
      <c r="H34" s="301"/>
      <c r="I34" s="302">
        <v>65000</v>
      </c>
      <c r="J34" s="302">
        <f>payroll_schedule_tbl[[#This Row],[Salary]]*Salary_Deductions</f>
        <v>650</v>
      </c>
      <c r="K34" s="302">
        <f>payroll_schedule_tbl[[#This Row],[Salary]]-payroll_schedule_tbl[[#This Row],[Deductions]]</f>
        <v>64350</v>
      </c>
      <c r="L34" s="302">
        <f>payroll_schedule_tbl[[#This Row],[Net_Salary]]*Bonus_Percentage</f>
        <v>9652.5</v>
      </c>
      <c r="M34" s="302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9652.5</v>
      </c>
      <c r="N34" s="300" t="b">
        <v>1</v>
      </c>
      <c r="O34" s="303">
        <f>IFERROR(MIN(Bonus_Month*payroll_schedule_tbl[[#This Row],[Pay_Bonus?]], _xlfn.XMATCH(1, P34:AA34,1,-1)) * payroll_schedule_tbl[[#This Row],[Pay_Bonus?]], 0)</f>
        <v>12</v>
      </c>
      <c r="P34" s="304">
        <f>_xlfn.LET(
    _xlpm.MONTH_START, DATE(2025, COLUMN(P34)-COLUMN($P34)+1,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4" s="305">
        <f>_xlfn.LET(
    _xlpm.MONTH_START, DATE(2025, COLUMN(Q34)-COLUMN($P34)+1,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4" s="305">
        <f>_xlfn.LET(
    _xlpm.MONTH_START, DATE(2025, COLUMN(R34)-COLUMN($P34)+1,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4" s="305">
        <f>_xlfn.LET(
    _xlpm.MONTH_START, DATE(2025, COLUMN(S34)-COLUMN($P34)+1,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4" s="305">
        <f>_xlfn.LET(
    _xlpm.MONTH_START, DATE(2025, COLUMN(T34)-COLUMN($P34)+1,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4" s="305">
        <f>_xlfn.LET(
    _xlpm.MONTH_START, DATE(2025, COLUMN(U34)-COLUMN($P34)+1,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V34" s="305">
        <f>_xlfn.LET(
    _xlpm.MONTH_START, DATE(2025, COLUMN(V34)-COLUMN($P34)+1,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W34" s="305">
        <f>_xlfn.LET(
    _xlpm.MONTH_START, DATE(2025, COLUMN(W34)-COLUMN($P34)+1,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X34" s="305">
        <f>_xlfn.LET(
    _xlpm.MONTH_START, DATE(2025, COLUMN(X34)-COLUMN($P34)+1,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Y34" s="305">
        <f>_xlfn.LET(
    _xlpm.MONTH_START, DATE(2025, COLUMN(Y34)-COLUMN($P34)+1,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Z34" s="305">
        <f>_xlfn.LET(
    _xlpm.MONTH_START, DATE(2025, COLUMN(Z34)-COLUMN($P34)+1,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A34" s="305">
        <f>_xlfn.LET(
    _xlpm.MONTH_START, DATE(2025, COLUMN(AA34)-COLUMN($P34)+1,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B34" s="305">
        <f>_xlfn.LET(
    _xlpm.MONTH_START, DATE(2025, COLUMN(AB34)-COLUMN($P34)+1,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C34" s="306">
        <f>SUM(payroll_schedule_tbl[[#This Row],[1/31/2025]:[12/31/2025]])</f>
        <v>37537.5</v>
      </c>
      <c r="AE34" s="308" cm="1">
        <f t="array" ref="AE34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4" s="309" cm="1">
        <f t="array" ref="AF34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4" s="309" cm="1">
        <f t="array" ref="AG34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4" s="309" cm="1">
        <f t="array" ref="AH34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4" s="309" cm="1">
        <f t="array" ref="AI34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4" s="309" cm="1">
        <f t="array" ref="AJ34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K34" s="309" cm="1">
        <f t="array" ref="AK34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L34" s="309" cm="1">
        <f t="array" ref="AL34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M34" s="309" cm="1">
        <f t="array" ref="AM34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N34" s="309" cm="1">
        <f t="array" ref="AN34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O34" s="309" cm="1">
        <f t="array" ref="AO34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P34" s="309" cm="1">
        <f t="array" ref="AP34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Q34" s="309" cm="1">
        <f t="array" ref="AQ34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1206.5625</v>
      </c>
      <c r="AR34" s="310">
        <f>SUM(bonus_accrual_forecast_tbl[[#This Row],[1/31/2025]:[12/31/2025]])</f>
        <v>9652.4999999999982</v>
      </c>
    </row>
    <row r="35" spans="2:44" s="307" customFormat="1" ht="12.6" customHeight="1" x14ac:dyDescent="0.25">
      <c r="B35" s="298">
        <f t="shared" si="0"/>
        <v>1029</v>
      </c>
      <c r="C35" s="299" t="s">
        <v>116</v>
      </c>
      <c r="D35" s="299" t="s">
        <v>124</v>
      </c>
      <c r="E35" s="299" t="s">
        <v>13</v>
      </c>
      <c r="F35" s="332" t="b">
        <f>Assumptions!$E$9</f>
        <v>1</v>
      </c>
      <c r="G35" s="301">
        <v>45809</v>
      </c>
      <c r="H35" s="301"/>
      <c r="I35" s="302">
        <v>65000</v>
      </c>
      <c r="J35" s="302">
        <f>payroll_schedule_tbl[[#This Row],[Salary]]*Salary_Deductions</f>
        <v>650</v>
      </c>
      <c r="K35" s="302">
        <f>payroll_schedule_tbl[[#This Row],[Salary]]-payroll_schedule_tbl[[#This Row],[Deductions]]</f>
        <v>64350</v>
      </c>
      <c r="L35" s="302">
        <f>payroll_schedule_tbl[[#This Row],[Net_Salary]]*Bonus_Percentage</f>
        <v>9652.5</v>
      </c>
      <c r="M35" s="302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9652.5</v>
      </c>
      <c r="N35" s="300" t="b">
        <v>1</v>
      </c>
      <c r="O35" s="303">
        <f>IFERROR(MIN(Bonus_Month*payroll_schedule_tbl[[#This Row],[Pay_Bonus?]], _xlfn.XMATCH(1, P35:AA35,1,-1)) * payroll_schedule_tbl[[#This Row],[Pay_Bonus?]], 0)</f>
        <v>12</v>
      </c>
      <c r="P35" s="304">
        <f>_xlfn.LET(
    _xlpm.MONTH_START, DATE(2025, COLUMN(P35)-COLUMN($P35)+1,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5" s="305">
        <f>_xlfn.LET(
    _xlpm.MONTH_START, DATE(2025, COLUMN(Q35)-COLUMN($P35)+1,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5" s="305">
        <f>_xlfn.LET(
    _xlpm.MONTH_START, DATE(2025, COLUMN(R35)-COLUMN($P35)+1,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5" s="305">
        <f>_xlfn.LET(
    _xlpm.MONTH_START, DATE(2025, COLUMN(S35)-COLUMN($P35)+1,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5" s="305">
        <f>_xlfn.LET(
    _xlpm.MONTH_START, DATE(2025, COLUMN(T35)-COLUMN($P35)+1,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5" s="305">
        <f>_xlfn.LET(
    _xlpm.MONTH_START, DATE(2025, COLUMN(U35)-COLUMN($P35)+1,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V35" s="305">
        <f>_xlfn.LET(
    _xlpm.MONTH_START, DATE(2025, COLUMN(V35)-COLUMN($P35)+1,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W35" s="305">
        <f>_xlfn.LET(
    _xlpm.MONTH_START, DATE(2025, COLUMN(W35)-COLUMN($P35)+1,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X35" s="305">
        <f>_xlfn.LET(
    _xlpm.MONTH_START, DATE(2025, COLUMN(X35)-COLUMN($P35)+1,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Y35" s="305">
        <f>_xlfn.LET(
    _xlpm.MONTH_START, DATE(2025, COLUMN(Y35)-COLUMN($P35)+1,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Z35" s="305">
        <f>_xlfn.LET(
    _xlpm.MONTH_START, DATE(2025, COLUMN(Z35)-COLUMN($P35)+1,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A35" s="305">
        <f>_xlfn.LET(
    _xlpm.MONTH_START, DATE(2025, COLUMN(AA35)-COLUMN($P35)+1,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B35" s="305">
        <f>_xlfn.LET(
    _xlpm.MONTH_START, DATE(2025, COLUMN(AB35)-COLUMN($P35)+1,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C35" s="306">
        <f>SUM(payroll_schedule_tbl[[#This Row],[1/31/2025]:[12/31/2025]])</f>
        <v>37537.5</v>
      </c>
      <c r="AE35" s="308" cm="1">
        <f t="array" ref="AE35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5" s="309" cm="1">
        <f t="array" ref="AF35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5" s="309" cm="1">
        <f t="array" ref="AG35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5" s="309" cm="1">
        <f t="array" ref="AH35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5" s="309" cm="1">
        <f t="array" ref="AI35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5" s="309" cm="1">
        <f t="array" ref="AJ35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K35" s="309" cm="1">
        <f t="array" ref="AK35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L35" s="309" cm="1">
        <f t="array" ref="AL35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M35" s="309" cm="1">
        <f t="array" ref="AM35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N35" s="309" cm="1">
        <f t="array" ref="AN35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O35" s="309" cm="1">
        <f t="array" ref="AO35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P35" s="309" cm="1">
        <f t="array" ref="AP35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1378.9285714285713</v>
      </c>
      <c r="AQ35" s="309" cm="1">
        <f t="array" ref="AQ35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1206.5625</v>
      </c>
      <c r="AR35" s="310">
        <f>SUM(bonus_accrual_forecast_tbl[[#This Row],[1/31/2025]:[12/31/2025]])</f>
        <v>9652.4999999999982</v>
      </c>
    </row>
    <row r="36" spans="2:44" ht="12.6" customHeight="1" x14ac:dyDescent="0.25">
      <c r="B36" s="5">
        <f t="shared" si="0"/>
        <v>1030</v>
      </c>
      <c r="C36" s="4" t="s">
        <v>116</v>
      </c>
      <c r="D36" s="4" t="s">
        <v>125</v>
      </c>
      <c r="E36" s="4" t="s">
        <v>49</v>
      </c>
      <c r="F36" s="300" t="b">
        <v>1</v>
      </c>
      <c r="G36" s="6">
        <v>45809</v>
      </c>
      <c r="H36" s="6"/>
      <c r="I36" s="87">
        <v>50000</v>
      </c>
      <c r="J36" s="87">
        <f>payroll_schedule_tbl[[#This Row],[Salary]]*Salary_Deductions</f>
        <v>500</v>
      </c>
      <c r="K36" s="87">
        <f>payroll_schedule_tbl[[#This Row],[Salary]]-payroll_schedule_tbl[[#This Row],[Deductions]]</f>
        <v>49500</v>
      </c>
      <c r="L36" s="87">
        <f>payroll_schedule_tbl[[#This Row],[Net_Salary]]*Bonus_Percentage</f>
        <v>7425</v>
      </c>
      <c r="M36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7425</v>
      </c>
      <c r="N36" s="297" t="b">
        <v>1</v>
      </c>
      <c r="O36" s="88">
        <f>IFERROR(MIN(Bonus_Month*payroll_schedule_tbl[[#This Row],[Pay_Bonus?]], _xlfn.XMATCH(1, P36:AA36,1,-1)) * payroll_schedule_tbl[[#This Row],[Pay_Bonus?]], 0)</f>
        <v>12</v>
      </c>
      <c r="P36" s="266">
        <f>_xlfn.LET(
    _xlpm.MONTH_START, DATE(2025, COLUMN(P36)-COLUMN($P36)+1,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6" s="89">
        <f>_xlfn.LET(
    _xlpm.MONTH_START, DATE(2025, COLUMN(Q36)-COLUMN($P36)+1,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6" s="89">
        <f>_xlfn.LET(
    _xlpm.MONTH_START, DATE(2025, COLUMN(R36)-COLUMN($P36)+1,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6" s="89">
        <f>_xlfn.LET(
    _xlpm.MONTH_START, DATE(2025, COLUMN(S36)-COLUMN($P36)+1,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6" s="89">
        <f>_xlfn.LET(
    _xlpm.MONTH_START, DATE(2025, COLUMN(T36)-COLUMN($P36)+1,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6" s="89">
        <f>_xlfn.LET(
    _xlpm.MONTH_START, DATE(2025, COLUMN(U36)-COLUMN($P36)+1,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V36" s="89">
        <f>_xlfn.LET(
    _xlpm.MONTH_START, DATE(2025, COLUMN(V36)-COLUMN($P36)+1,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W36" s="89">
        <f>_xlfn.LET(
    _xlpm.MONTH_START, DATE(2025, COLUMN(W36)-COLUMN($P36)+1,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X36" s="89">
        <f>_xlfn.LET(
    _xlpm.MONTH_START, DATE(2025, COLUMN(X36)-COLUMN($P36)+1,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Y36" s="89">
        <f>_xlfn.LET(
    _xlpm.MONTH_START, DATE(2025, COLUMN(Y36)-COLUMN($P36)+1,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Z36" s="89">
        <f>_xlfn.LET(
    _xlpm.MONTH_START, DATE(2025, COLUMN(Z36)-COLUMN($P36)+1,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AA36" s="89">
        <f>_xlfn.LET(
    _xlpm.MONTH_START, DATE(2025, COLUMN(AA36)-COLUMN($P36)+1,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AB36" s="89">
        <f>_xlfn.LET(
    _xlpm.MONTH_START, DATE(2025, COLUMN(AB36)-COLUMN($P36)+1,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4125</v>
      </c>
      <c r="AC36" s="268">
        <f>SUM(payroll_schedule_tbl[[#This Row],[1/31/2025]:[12/31/2025]])</f>
        <v>28875</v>
      </c>
      <c r="AE36" s="276" cm="1">
        <f t="array" ref="AE36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6" s="214" cm="1">
        <f t="array" ref="AF36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6" s="214" cm="1">
        <f t="array" ref="AG36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6" s="214" cm="1">
        <f t="array" ref="AH36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6" s="214" cm="1">
        <f t="array" ref="AI36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6" s="214" cm="1">
        <f t="array" ref="AJ36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K36" s="214" cm="1">
        <f t="array" ref="AK36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L36" s="214" cm="1">
        <f t="array" ref="AL36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M36" s="214" cm="1">
        <f t="array" ref="AM36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N36" s="214" cm="1">
        <f t="array" ref="AN36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O36" s="214" cm="1">
        <f t="array" ref="AO36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P36" s="214" cm="1">
        <f t="array" ref="AP36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1060.7142857142856</v>
      </c>
      <c r="AQ36" s="214" cm="1">
        <f t="array" ref="AQ36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928.125</v>
      </c>
      <c r="AR36" s="278">
        <f>SUM(bonus_accrual_forecast_tbl[[#This Row],[1/31/2025]:[12/31/2025]])</f>
        <v>7424.9999999999982</v>
      </c>
    </row>
    <row r="37" spans="2:44" s="307" customFormat="1" ht="12.6" customHeight="1" x14ac:dyDescent="0.25">
      <c r="B37" s="298">
        <f t="shared" si="0"/>
        <v>1031</v>
      </c>
      <c r="C37" s="299" t="s">
        <v>116</v>
      </c>
      <c r="D37" s="299" t="s">
        <v>126</v>
      </c>
      <c r="E37" s="299" t="s">
        <v>13</v>
      </c>
      <c r="F37" s="332" t="b">
        <f>Assumptions!$E$9</f>
        <v>1</v>
      </c>
      <c r="G37" s="301">
        <v>45839</v>
      </c>
      <c r="H37" s="301"/>
      <c r="I37" s="302">
        <v>95000</v>
      </c>
      <c r="J37" s="302">
        <f>payroll_schedule_tbl[[#This Row],[Salary]]*Salary_Deductions</f>
        <v>950</v>
      </c>
      <c r="K37" s="302">
        <f>payroll_schedule_tbl[[#This Row],[Salary]]-payroll_schedule_tbl[[#This Row],[Deductions]]</f>
        <v>94050</v>
      </c>
      <c r="L37" s="302">
        <f>payroll_schedule_tbl[[#This Row],[Net_Salary]]*Bonus_Percentage</f>
        <v>14107.5</v>
      </c>
      <c r="M37" s="302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14107.5</v>
      </c>
      <c r="N37" s="300" t="b">
        <v>1</v>
      </c>
      <c r="O37" s="303">
        <f>IFERROR(MIN(Bonus_Month*payroll_schedule_tbl[[#This Row],[Pay_Bonus?]], _xlfn.XMATCH(1, P37:AA37,1,-1)) * payroll_schedule_tbl[[#This Row],[Pay_Bonus?]], 0)</f>
        <v>12</v>
      </c>
      <c r="P37" s="304">
        <f>_xlfn.LET(
    _xlpm.MONTH_START, DATE(2025, COLUMN(P37)-COLUMN($P37)+1,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7" s="305">
        <f>_xlfn.LET(
    _xlpm.MONTH_START, DATE(2025, COLUMN(Q37)-COLUMN($P37)+1,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7" s="305">
        <f>_xlfn.LET(
    _xlpm.MONTH_START, DATE(2025, COLUMN(R37)-COLUMN($P37)+1,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7" s="305">
        <f>_xlfn.LET(
    _xlpm.MONTH_START, DATE(2025, COLUMN(S37)-COLUMN($P37)+1,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7" s="305">
        <f>_xlfn.LET(
    _xlpm.MONTH_START, DATE(2025, COLUMN(T37)-COLUMN($P37)+1,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7" s="305">
        <f>_xlfn.LET(
    _xlpm.MONTH_START, DATE(2025, COLUMN(U37)-COLUMN($P37)+1,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37" s="305">
        <f>_xlfn.LET(
    _xlpm.MONTH_START, DATE(2025, COLUMN(V37)-COLUMN($P37)+1,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W37" s="305">
        <f>_xlfn.LET(
    _xlpm.MONTH_START, DATE(2025, COLUMN(W37)-COLUMN($P37)+1,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X37" s="305">
        <f>_xlfn.LET(
    _xlpm.MONTH_START, DATE(2025, COLUMN(X37)-COLUMN($P37)+1,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Y37" s="305">
        <f>_xlfn.LET(
    _xlpm.MONTH_START, DATE(2025, COLUMN(Y37)-COLUMN($P37)+1,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Z37" s="305">
        <f>_xlfn.LET(
    _xlpm.MONTH_START, DATE(2025, COLUMN(Z37)-COLUMN($P37)+1,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A37" s="305">
        <f>_xlfn.LET(
    _xlpm.MONTH_START, DATE(2025, COLUMN(AA37)-COLUMN($P37)+1,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B37" s="305">
        <f>_xlfn.LET(
    _xlpm.MONTH_START, DATE(2025, COLUMN(AB37)-COLUMN($P37)+1,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7837.5</v>
      </c>
      <c r="AC37" s="306">
        <f>SUM(payroll_schedule_tbl[[#This Row],[1/31/2025]:[12/31/2025]])</f>
        <v>47025</v>
      </c>
      <c r="AE37" s="308" cm="1">
        <f t="array" ref="AE37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7" s="309" cm="1">
        <f t="array" ref="AF37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7" s="309" cm="1">
        <f t="array" ref="AG37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7" s="309" cm="1">
        <f t="array" ref="AH37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7" s="309" cm="1">
        <f t="array" ref="AI37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7" s="309" cm="1">
        <f t="array" ref="AJ37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37" s="309" cm="1">
        <f t="array" ref="AK37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L37" s="309" cm="1">
        <f t="array" ref="AL37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M37" s="309" cm="1">
        <f t="array" ref="AM37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N37" s="309" cm="1">
        <f t="array" ref="AN37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O37" s="309" cm="1">
        <f t="array" ref="AO37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P37" s="309" cm="1">
        <f t="array" ref="AP37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2351.25</v>
      </c>
      <c r="AQ37" s="309" cm="1">
        <f t="array" ref="AQ37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2015.3571428571427</v>
      </c>
      <c r="AR37" s="310">
        <f>SUM(bonus_accrual_forecast_tbl[[#This Row],[1/31/2025]:[12/31/2025]])</f>
        <v>14107.5</v>
      </c>
    </row>
    <row r="38" spans="2:44" ht="12.6" customHeight="1" x14ac:dyDescent="0.25">
      <c r="B38" s="5">
        <f t="shared" si="0"/>
        <v>1032</v>
      </c>
      <c r="C38" s="4" t="s">
        <v>116</v>
      </c>
      <c r="D38" s="4" t="s">
        <v>131</v>
      </c>
      <c r="E38" s="4" t="s">
        <v>51</v>
      </c>
      <c r="F38" s="300" t="b">
        <v>1</v>
      </c>
      <c r="G38" s="6">
        <v>45870</v>
      </c>
      <c r="H38" s="6"/>
      <c r="I38" s="87">
        <v>70000</v>
      </c>
      <c r="J38" s="87">
        <f>payroll_schedule_tbl[[#This Row],[Salary]]*Salary_Deductions</f>
        <v>700</v>
      </c>
      <c r="K38" s="87">
        <f>payroll_schedule_tbl[[#This Row],[Salary]]-payroll_schedule_tbl[[#This Row],[Deductions]]</f>
        <v>69300</v>
      </c>
      <c r="L38" s="87">
        <f>payroll_schedule_tbl[[#This Row],[Net_Salary]]*Bonus_Percentage</f>
        <v>10395</v>
      </c>
      <c r="M38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10395</v>
      </c>
      <c r="N38" s="297" t="b">
        <v>1</v>
      </c>
      <c r="O38" s="88">
        <f>IFERROR(MIN(Bonus_Month*payroll_schedule_tbl[[#This Row],[Pay_Bonus?]], _xlfn.XMATCH(1, P38:AA38,1,-1)) * payroll_schedule_tbl[[#This Row],[Pay_Bonus?]], 0)</f>
        <v>12</v>
      </c>
      <c r="P38" s="266">
        <f>_xlfn.LET(
    _xlpm.MONTH_START, DATE(2025, COLUMN(P38)-COLUMN($P38)+1,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8" s="89">
        <f>_xlfn.LET(
    _xlpm.MONTH_START, DATE(2025, COLUMN(Q38)-COLUMN($P38)+1,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8" s="89">
        <f>_xlfn.LET(
    _xlpm.MONTH_START, DATE(2025, COLUMN(R38)-COLUMN($P38)+1,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8" s="89">
        <f>_xlfn.LET(
    _xlpm.MONTH_START, DATE(2025, COLUMN(S38)-COLUMN($P38)+1,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8" s="89">
        <f>_xlfn.LET(
    _xlpm.MONTH_START, DATE(2025, COLUMN(T38)-COLUMN($P38)+1,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8" s="89">
        <f>_xlfn.LET(
    _xlpm.MONTH_START, DATE(2025, COLUMN(U38)-COLUMN($P38)+1,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38" s="89">
        <f>_xlfn.LET(
    _xlpm.MONTH_START, DATE(2025, COLUMN(V38)-COLUMN($P38)+1,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38" s="89">
        <f>_xlfn.LET(
    _xlpm.MONTH_START, DATE(2025, COLUMN(W38)-COLUMN($P38)+1,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X38" s="89">
        <f>_xlfn.LET(
    _xlpm.MONTH_START, DATE(2025, COLUMN(X38)-COLUMN($P38)+1,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Y38" s="89">
        <f>_xlfn.LET(
    _xlpm.MONTH_START, DATE(2025, COLUMN(Y38)-COLUMN($P38)+1,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Z38" s="89">
        <f>_xlfn.LET(
    _xlpm.MONTH_START, DATE(2025, COLUMN(Z38)-COLUMN($P38)+1,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A38" s="89">
        <f>_xlfn.LET(
    _xlpm.MONTH_START, DATE(2025, COLUMN(AA38)-COLUMN($P38)+1,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B38" s="89">
        <f>_xlfn.LET(
    _xlpm.MONTH_START, DATE(2025, COLUMN(AB38)-COLUMN($P38)+1,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5775</v>
      </c>
      <c r="AC38" s="268">
        <f>SUM(payroll_schedule_tbl[[#This Row],[1/31/2025]:[12/31/2025]])</f>
        <v>28875</v>
      </c>
      <c r="AE38" s="276" cm="1">
        <f t="array" ref="AE38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8" s="214" cm="1">
        <f t="array" ref="AF38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8" s="214" cm="1">
        <f t="array" ref="AG38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8" s="214" cm="1">
        <f t="array" ref="AH38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8" s="214" cm="1">
        <f t="array" ref="AI38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8" s="214" cm="1">
        <f t="array" ref="AJ38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38" s="214" cm="1">
        <f t="array" ref="AK38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38" s="214" cm="1">
        <f t="array" ref="AL38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2079</v>
      </c>
      <c r="AM38" s="214" cm="1">
        <f t="array" ref="AM38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2079</v>
      </c>
      <c r="AN38" s="214" cm="1">
        <f t="array" ref="AN38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2079</v>
      </c>
      <c r="AO38" s="214" cm="1">
        <f t="array" ref="AO38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2079</v>
      </c>
      <c r="AP38" s="214" cm="1">
        <f t="array" ref="AP38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2079</v>
      </c>
      <c r="AQ38" s="214" cm="1">
        <f t="array" ref="AQ38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1732.5</v>
      </c>
      <c r="AR38" s="278">
        <f>SUM(bonus_accrual_forecast_tbl[[#This Row],[1/31/2025]:[12/31/2025]])</f>
        <v>10395</v>
      </c>
    </row>
    <row r="39" spans="2:44" ht="12.6" customHeight="1" x14ac:dyDescent="0.25">
      <c r="B39" s="5">
        <f t="shared" si="0"/>
        <v>1033</v>
      </c>
      <c r="C39" s="4" t="s">
        <v>116</v>
      </c>
      <c r="D39" s="4" t="s">
        <v>124</v>
      </c>
      <c r="E39" s="4" t="s">
        <v>13</v>
      </c>
      <c r="F39" s="297" t="b">
        <v>1</v>
      </c>
      <c r="G39" s="6">
        <v>45870</v>
      </c>
      <c r="H39" s="6"/>
      <c r="I39" s="87">
        <v>65000</v>
      </c>
      <c r="J39" s="87">
        <f>payroll_schedule_tbl[[#This Row],[Salary]]*Salary_Deductions</f>
        <v>650</v>
      </c>
      <c r="K39" s="87">
        <f>payroll_schedule_tbl[[#This Row],[Salary]]-payroll_schedule_tbl[[#This Row],[Deductions]]</f>
        <v>64350</v>
      </c>
      <c r="L39" s="87">
        <f>payroll_schedule_tbl[[#This Row],[Net_Salary]]*Bonus_Percentage</f>
        <v>9652.5</v>
      </c>
      <c r="M39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9652.5</v>
      </c>
      <c r="N39" s="297" t="b">
        <v>1</v>
      </c>
      <c r="O39" s="88">
        <f>IFERROR(MIN(Bonus_Month*payroll_schedule_tbl[[#This Row],[Pay_Bonus?]], _xlfn.XMATCH(1, P39:AA39,1,-1)) * payroll_schedule_tbl[[#This Row],[Pay_Bonus?]], 0)</f>
        <v>12</v>
      </c>
      <c r="P39" s="266">
        <f>_xlfn.LET(
    _xlpm.MONTH_START, DATE(2025, COLUMN(P39)-COLUMN($P39)+1,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39" s="89">
        <f>_xlfn.LET(
    _xlpm.MONTH_START, DATE(2025, COLUMN(Q39)-COLUMN($P39)+1,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39" s="89">
        <f>_xlfn.LET(
    _xlpm.MONTH_START, DATE(2025, COLUMN(R39)-COLUMN($P39)+1,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39" s="89">
        <f>_xlfn.LET(
    _xlpm.MONTH_START, DATE(2025, COLUMN(S39)-COLUMN($P39)+1,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39" s="89">
        <f>_xlfn.LET(
    _xlpm.MONTH_START, DATE(2025, COLUMN(T39)-COLUMN($P39)+1,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39" s="89">
        <f>_xlfn.LET(
    _xlpm.MONTH_START, DATE(2025, COLUMN(U39)-COLUMN($P39)+1,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39" s="89">
        <f>_xlfn.LET(
    _xlpm.MONTH_START, DATE(2025, COLUMN(V39)-COLUMN($P39)+1,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39" s="89">
        <f>_xlfn.LET(
    _xlpm.MONTH_START, DATE(2025, COLUMN(W39)-COLUMN($P39)+1,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X39" s="89">
        <f>_xlfn.LET(
    _xlpm.MONTH_START, DATE(2025, COLUMN(X39)-COLUMN($P39)+1,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Y39" s="89">
        <f>_xlfn.LET(
    _xlpm.MONTH_START, DATE(2025, COLUMN(Y39)-COLUMN($P39)+1,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Z39" s="89">
        <f>_xlfn.LET(
    _xlpm.MONTH_START, DATE(2025, COLUMN(Z39)-COLUMN($P39)+1,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A39" s="89">
        <f>_xlfn.LET(
    _xlpm.MONTH_START, DATE(2025, COLUMN(AA39)-COLUMN($P39)+1,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B39" s="89">
        <f>_xlfn.LET(
    _xlpm.MONTH_START, DATE(2025, COLUMN(AB39)-COLUMN($P39)+1,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5362.5</v>
      </c>
      <c r="AC39" s="268">
        <f>SUM(payroll_schedule_tbl[[#This Row],[1/31/2025]:[12/31/2025]])</f>
        <v>26812.5</v>
      </c>
      <c r="AE39" s="275" cm="1">
        <f t="array" ref="AE39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39" s="215" cm="1">
        <f t="array" ref="AF39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39" s="215" cm="1">
        <f t="array" ref="AG39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39" s="215" cm="1">
        <f t="array" ref="AH39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39" s="215" cm="1">
        <f t="array" ref="AI39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39" s="215" cm="1">
        <f t="array" ref="AJ39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39" s="215" cm="1">
        <f t="array" ref="AK39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39" s="215" cm="1">
        <f t="array" ref="AL39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1930.5</v>
      </c>
      <c r="AM39" s="215" cm="1">
        <f t="array" ref="AM39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1930.5</v>
      </c>
      <c r="AN39" s="215" cm="1">
        <f t="array" ref="AN39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1930.5</v>
      </c>
      <c r="AO39" s="215" cm="1">
        <f t="array" ref="AO39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1930.5</v>
      </c>
      <c r="AP39" s="215" cm="1">
        <f t="array" ref="AP39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1930.5</v>
      </c>
      <c r="AQ39" s="215" cm="1">
        <f t="array" ref="AQ39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1608.75</v>
      </c>
      <c r="AR39" s="279">
        <f>SUM(bonus_accrual_forecast_tbl[[#This Row],[1/31/2025]:[12/31/2025]])</f>
        <v>9652.5</v>
      </c>
    </row>
    <row r="40" spans="2:44" ht="12.6" customHeight="1" x14ac:dyDescent="0.25">
      <c r="B40" s="5">
        <f t="shared" si="0"/>
        <v>1034</v>
      </c>
      <c r="C40" s="4" t="s">
        <v>116</v>
      </c>
      <c r="D40" s="4" t="s">
        <v>127</v>
      </c>
      <c r="E40" s="4" t="s">
        <v>35</v>
      </c>
      <c r="F40" s="297" t="b">
        <v>1</v>
      </c>
      <c r="G40" s="6">
        <v>45931</v>
      </c>
      <c r="H40" s="6"/>
      <c r="I40" s="87">
        <v>125000</v>
      </c>
      <c r="J40" s="87">
        <f>payroll_schedule_tbl[[#This Row],[Salary]]*Salary_Deductions</f>
        <v>1250</v>
      </c>
      <c r="K40" s="87">
        <f>payroll_schedule_tbl[[#This Row],[Salary]]-payroll_schedule_tbl[[#This Row],[Deductions]]</f>
        <v>123750</v>
      </c>
      <c r="L40" s="87">
        <f>payroll_schedule_tbl[[#This Row],[Net_Salary]]*Bonus_Percentage</f>
        <v>18562.5</v>
      </c>
      <c r="M40" s="87">
        <f>IF(ISBLANK(payroll_schedule_tbl[[#This Row],[End_Date]]),
payroll_schedule_tbl[[#This Row],[Annual_Bonus]],
payroll_schedule_tbl[[#This Row],[Annual_Bonus]] * (DAY(payroll_schedule_tbl[[#This Row],[End_Date]]) + (MONTH(payroll_schedule_tbl[[#This Row],[End_Date]]) - 1) * 30) / 360)
*payroll_schedule_tbl[[#This Row],[Pay_Bonus?]]</f>
        <v>18562.5</v>
      </c>
      <c r="N40" s="297" t="b">
        <v>1</v>
      </c>
      <c r="O40" s="88">
        <f>IFERROR(MIN(Bonus_Month*payroll_schedule_tbl[[#This Row],[Pay_Bonus?]], _xlfn.XMATCH(1, P40:AA40,1,-1)) * payroll_schedule_tbl[[#This Row],[Pay_Bonus?]], 0)</f>
        <v>12</v>
      </c>
      <c r="P40" s="266">
        <f>_xlfn.LET(
    _xlpm.MONTH_START, DATE(2025, COLUMN(P40)-COLUMN($P40)+1,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Q40" s="89">
        <f>_xlfn.LET(
    _xlpm.MONTH_START, DATE(2025, COLUMN(Q40)-COLUMN($P40)+1,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R40" s="89">
        <f>_xlfn.LET(
    _xlpm.MONTH_START, DATE(2025, COLUMN(R40)-COLUMN($P40)+1,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S40" s="89">
        <f>_xlfn.LET(
    _xlpm.MONTH_START, DATE(2025, COLUMN(S40)-COLUMN($P40)+1,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T40" s="89">
        <f>_xlfn.LET(
    _xlpm.MONTH_START, DATE(2025, COLUMN(T40)-COLUMN($P40)+1,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U40" s="89">
        <f>_xlfn.LET(
    _xlpm.MONTH_START, DATE(2025, COLUMN(U40)-COLUMN($P40)+1,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V40" s="89">
        <f>_xlfn.LET(
    _xlpm.MONTH_START, DATE(2025, COLUMN(V40)-COLUMN($P40)+1,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W40" s="89">
        <f>_xlfn.LET(
    _xlpm.MONTH_START, DATE(2025, COLUMN(W40)-COLUMN($P40)+1,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X40" s="89">
        <f>_xlfn.LET(
    _xlpm.MONTH_START, DATE(2025, COLUMN(X40)-COLUMN($P40)+1,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0</v>
      </c>
      <c r="Y40" s="89">
        <f>_xlfn.LET(
    _xlpm.MONTH_START, DATE(2025, COLUMN(Y40)-COLUMN($P40)+1,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10312.5</v>
      </c>
      <c r="Z40" s="89">
        <f>_xlfn.LET(
    _xlpm.MONTH_START, DATE(2025, COLUMN(Z40)-COLUMN($P40)+1,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10312.5</v>
      </c>
      <c r="AA40" s="89">
        <f>_xlfn.LET(
    _xlpm.MONTH_START, DATE(2025, COLUMN(AA40)-COLUMN($P40)+1,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10312.5</v>
      </c>
      <c r="AB40" s="89">
        <f>_xlfn.LET(
    _xlpm.MONTH_START, DATE(2025, COLUMN(AB40)-COLUMN($P40)+1, 1),
    _xlpm.MONTH_END, EOMONTH(_xlpm.MONTH_START, 0),
    _xlpm.TOTAL_DAYS_IN_MONTH, DAY(_xlpm.MONTH_END),
    _xlpm.WORKED_DAYS, IF(ISBLANK(payroll_schedule_tbl[[#This Row],[End_Date]]), _xlpm.MONTH_END, payroll_schedule_tbl[[#This Row],[End_Date]] ) - MAX(_xlpm.MONTH_START, payroll_schedule_tbl[[#This Row],[Start_Date]]) + 1,
    IF(AND(payroll_schedule_tbl[[#This Row],[Start_Date]] &lt;= _xlpm.MONTH_START, OR(ISBLANK(payroll_schedule_tbl[[#This Row],[End_Date]]), payroll_schedule_tbl[[#This Row],[End_Date]] &gt;= _xlpm.MONTH_START)),
        (payroll_schedule_tbl[[#This Row],[Net_Salary]] / 12) * MIN(1, _xlpm.WORKED_DAYS / _xlpm.TOTAL_DAYS_IN_MONTH),
        0
    ) * payroll_schedule_tbl[[#This Row],[Hired?]]
)</f>
        <v>10312.5</v>
      </c>
      <c r="AC40" s="268">
        <f>SUM(payroll_schedule_tbl[[#This Row],[1/31/2025]:[12/31/2025]])</f>
        <v>30937.5</v>
      </c>
      <c r="AE40" s="277" cm="1">
        <f t="array" ref="AE40">IFERROR(
_xlfn.XLOOKUP(AE$5,payroll_schedule_tbl[[#Headers],[1/31/2025]:[12/31/2025]],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F40" s="218" cm="1">
        <f t="array" ref="AF40">IFERROR(
_xlfn.XLOOKUP(AF$5,payroll_schedule_tbl[[#Headers],[1/31/2025]:[12/31/2025]],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G40" s="218" cm="1">
        <f t="array" ref="AG40">IFERROR(
_xlfn.XLOOKUP(AG$5,payroll_schedule_tbl[[#Headers],[1/31/2025]:[12/31/2025]],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H40" s="218" cm="1">
        <f t="array" ref="AH40">IFERROR(
_xlfn.XLOOKUP(AH$5,payroll_schedule_tbl[[#Headers],[1/31/2025]:[12/31/2025]],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I40" s="218" cm="1">
        <f t="array" ref="AI40">IFERROR(
_xlfn.XLOOKUP(AI$5,payroll_schedule_tbl[[#Headers],[1/31/2025]:[12/31/2025]],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J40" s="218" cm="1">
        <f t="array" ref="AJ40">IFERROR(
_xlfn.XLOOKUP(AJ$5,payroll_schedule_tbl[[#Headers],[1/31/2025]:[12/31/2025]],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K40" s="218" cm="1">
        <f t="array" ref="AK40">IFERROR(
_xlfn.XLOOKUP(AK$5,payroll_schedule_tbl[[#Headers],[1/31/2025]:[12/31/2025]],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L40" s="218" cm="1">
        <f t="array" ref="AL40">IFERROR(
_xlfn.XLOOKUP(AL$5,payroll_schedule_tbl[[#Headers],[1/31/2025]:[12/31/2025]],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M40" s="218" cm="1">
        <f t="array" ref="AM40">IFERROR(
_xlfn.XLOOKUP(AM$5,payroll_schedule_tbl[[#Headers],[1/31/2025]:[12/31/2025]],
payroll_schedule_tbl[[#This Row],[1/31/2025]:[12/31/2025]])
/ SUM(payroll_schedule_tbl[[#This Row],[1/31/2025]:[12/31/2025]])
* payroll_schedule_tbl[[#This Row],[Pro_Rata_Bonus]], 0)</f>
        <v>0</v>
      </c>
      <c r="AN40" s="218" cm="1">
        <f t="array" ref="AN40">IFERROR(
_xlfn.XLOOKUP(AN$5,payroll_schedule_tbl[[#Headers],[1/31/2025]:[12/31/2025]],
payroll_schedule_tbl[[#This Row],[1/31/2025]:[12/31/2025]])
/ SUM(payroll_schedule_tbl[[#This Row],[1/31/2025]:[12/31/2025]])
* payroll_schedule_tbl[[#This Row],[Pro_Rata_Bonus]], 0)</f>
        <v>6187.5</v>
      </c>
      <c r="AO40" s="218" cm="1">
        <f t="array" ref="AO40">IFERROR(
_xlfn.XLOOKUP(AO$5,payroll_schedule_tbl[[#Headers],[1/31/2025]:[12/31/2025]],
payroll_schedule_tbl[[#This Row],[1/31/2025]:[12/31/2025]])
/ SUM(payroll_schedule_tbl[[#This Row],[1/31/2025]:[12/31/2025]])
* payroll_schedule_tbl[[#This Row],[Pro_Rata_Bonus]], 0)</f>
        <v>6187.5</v>
      </c>
      <c r="AP40" s="218" cm="1">
        <f t="array" ref="AP40">IFERROR(
_xlfn.XLOOKUP(AP$5,payroll_schedule_tbl[[#Headers],[1/31/2025]:[12/31/2025]],
payroll_schedule_tbl[[#This Row],[1/31/2025]:[12/31/2025]])
/ SUM(payroll_schedule_tbl[[#This Row],[1/31/2025]:[12/31/2025]])
* payroll_schedule_tbl[[#This Row],[Pro_Rata_Bonus]], 0)</f>
        <v>6187.5</v>
      </c>
      <c r="AQ40" s="218" cm="1">
        <f t="array" ref="AQ40">IFERROR(
_xlfn.XLOOKUP(AQ$5,payroll_schedule_tbl[[#Headers],[2/28/2025]:[1/31/2026]],
payroll_schedule_tbl[[#This Row],[2/28/2025]:[1/31/2026]])
/ SUM(payroll_schedule_tbl[[#This Row],[2/28/2025]:[1/31/2026]])
* payroll_schedule_tbl[[#This Row],[Pro_Rata_Bonus]], 0)</f>
        <v>4640.625</v>
      </c>
      <c r="AR40" s="280">
        <f>SUM(bonus_accrual_forecast_tbl[[#This Row],[1/31/2025]:[12/31/2025]])</f>
        <v>18562.5</v>
      </c>
    </row>
    <row r="41" spans="2:44" ht="12.6" customHeight="1" x14ac:dyDescent="0.25">
      <c r="B41" s="5" t="s">
        <v>10</v>
      </c>
      <c r="C41" s="90" t="str">
        <f>"Count of Personnel Roster = "&amp;SUBTOTAL(103,payroll_schedule_tbl[Employee_Name])</f>
        <v>Count of Personnel Roster = 35</v>
      </c>
      <c r="D41" s="4"/>
      <c r="E41" s="4"/>
      <c r="F41" s="56" t="str">
        <f>"Count of Active Employees = "&amp;COUNTIFS(payroll_schedule_tbl[Hired?],TRUE) - COUNTIFS(payroll_schedule_tbl[End_Date],"&lt;="&amp;EOMONTH(payroll_schedule_tbl[[#Headers],[1/31/2025]],-1))</f>
        <v>Count of Active Employees = 33</v>
      </c>
      <c r="G41" s="4"/>
      <c r="H41" s="4"/>
      <c r="I41" s="91">
        <f>SUBTOTAL(109,payroll_schedule_tbl[Salary])</f>
        <v>3017000</v>
      </c>
      <c r="J41" s="91">
        <f>SUBTOTAL(109,payroll_schedule_tbl[Deductions])</f>
        <v>30170</v>
      </c>
      <c r="K41" s="91">
        <f>SUBTOTAL(109,payroll_schedule_tbl[Net_Salary])</f>
        <v>2986830</v>
      </c>
      <c r="L41" s="91">
        <f>SUBTOTAL(109,payroll_schedule_tbl[Annual_Bonus])</f>
        <v>448024.5</v>
      </c>
      <c r="M41" s="91">
        <f>SUBTOTAL(109,payroll_schedule_tbl[Pro_Rata_Bonus])</f>
        <v>397720.125</v>
      </c>
      <c r="N41" s="220">
        <f>COUNTIF(payroll_schedule_tbl[Pay_Bonus?],TRUE) / COUNTA(payroll_schedule_tbl[Pay_Bonus?])</f>
        <v>0.91428571428571426</v>
      </c>
      <c r="O41" s="4"/>
      <c r="P41" s="267">
        <f>SUBTOTAL(109,payroll_schedule_tbl[1/31/2025])</f>
        <v>173910</v>
      </c>
      <c r="Q41" s="91">
        <f>SUBTOTAL(109,payroll_schedule_tbl[2/28/2025])</f>
        <v>173910</v>
      </c>
      <c r="R41" s="91">
        <f>SUBTOTAL(109,payroll_schedule_tbl[3/31/2025])</f>
        <v>173910</v>
      </c>
      <c r="S41" s="91">
        <f>SUBTOTAL(109,payroll_schedule_tbl[4/30/2025])</f>
        <v>178860</v>
      </c>
      <c r="T41" s="91">
        <f>SUBTOTAL(109,payroll_schedule_tbl[5/31/2025])</f>
        <v>182572.5</v>
      </c>
      <c r="U41" s="91">
        <f>SUBTOTAL(109,payroll_schedule_tbl[6/30/2025])</f>
        <v>197422.5</v>
      </c>
      <c r="V41" s="91">
        <f>SUBTOTAL(109,payroll_schedule_tbl[7/31/2025])</f>
        <v>200722.5</v>
      </c>
      <c r="W41" s="91">
        <f>SUBTOTAL(109,payroll_schedule_tbl[8/31/2025])</f>
        <v>211860</v>
      </c>
      <c r="X41" s="91">
        <f>SUBTOTAL(109,payroll_schedule_tbl[9/30/2025])</f>
        <v>211860</v>
      </c>
      <c r="Y41" s="91">
        <f>SUBTOTAL(109,payroll_schedule_tbl[10/31/2025])</f>
        <v>209797.5</v>
      </c>
      <c r="Z41" s="91">
        <f>SUBTOTAL(109,payroll_schedule_tbl[11/30/2025])</f>
        <v>209797.5</v>
      </c>
      <c r="AA41" s="91">
        <f>SUBTOTAL(109,payroll_schedule_tbl[12/31/2025])</f>
        <v>209797.5</v>
      </c>
      <c r="AB41" s="91">
        <f>SUBTOTAL(109,payroll_schedule_tbl[1/31/2026])</f>
        <v>209797.5</v>
      </c>
      <c r="AC41" s="269">
        <f>SUBTOTAL(109,payroll_schedule_tbl[Salary_Total])</f>
        <v>2334420</v>
      </c>
      <c r="AE41" s="267">
        <f>SUBTOTAL(109,bonus_accrual_forecast_tbl[1/31/2025])</f>
        <v>25418.25</v>
      </c>
      <c r="AF41" s="91">
        <f>SUBTOTAL(109,bonus_accrual_forecast_tbl[2/28/2025])</f>
        <v>25418.25</v>
      </c>
      <c r="AG41" s="91">
        <f>SUBTOTAL(109,bonus_accrual_forecast_tbl[3/31/2025])</f>
        <v>25418.25</v>
      </c>
      <c r="AH41" s="91">
        <f>SUBTOTAL(109,bonus_accrual_forecast_tbl[4/30/2025])</f>
        <v>26767.125</v>
      </c>
      <c r="AI41" s="91">
        <f>SUBTOTAL(109,bonus_accrual_forecast_tbl[5/31/2025])</f>
        <v>27602.4375</v>
      </c>
      <c r="AJ41" s="91">
        <f>SUBTOTAL(109,bonus_accrual_forecast_tbl[6/30/2025])</f>
        <v>31421.008928571431</v>
      </c>
      <c r="AK41" s="91">
        <f>SUBTOTAL(109,bonus_accrual_forecast_tbl[7/31/2025])</f>
        <v>33772.258928571435</v>
      </c>
      <c r="AL41" s="91">
        <f>SUBTOTAL(109,bonus_accrual_forecast_tbl[8/31/2025])</f>
        <v>37781.758928571435</v>
      </c>
      <c r="AM41" s="91">
        <f>SUBTOTAL(109,bonus_accrual_forecast_tbl[9/30/2025])</f>
        <v>37781.758928571435</v>
      </c>
      <c r="AN41" s="91">
        <f>SUBTOTAL(109,bonus_accrual_forecast_tbl[10/31/2025])</f>
        <v>42113.008928571435</v>
      </c>
      <c r="AO41" s="91">
        <f>SUBTOTAL(109,bonus_accrual_forecast_tbl[11/30/2025])</f>
        <v>42113.008928571435</v>
      </c>
      <c r="AP41" s="91">
        <f>SUBTOTAL(109,bonus_accrual_forecast_tbl[12/31/2025])</f>
        <v>42113.008928571435</v>
      </c>
      <c r="AQ41" s="91">
        <f>SUBTOTAL(109,bonus_accrual_forecast_tbl[1/31/2026])</f>
        <v>38744.357142857145</v>
      </c>
      <c r="AR41" s="269">
        <f>SUBTOTAL(109,bonus_accrual_forecast_tbl[Bonus_Total])</f>
        <v>397720.125</v>
      </c>
    </row>
    <row r="42" spans="2:44" ht="12.6" customHeight="1" x14ac:dyDescent="0.25">
      <c r="P42" s="23"/>
    </row>
    <row r="43" spans="2:44" ht="12.6" customHeight="1" x14ac:dyDescent="0.25">
      <c r="P43" s="42"/>
    </row>
    <row r="44" spans="2:44" ht="12.6" customHeight="1" x14ac:dyDescent="0.25"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</row>
    <row r="45" spans="2:44" ht="12.6" customHeight="1" x14ac:dyDescent="0.25">
      <c r="N45" s="43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</row>
    <row r="46" spans="2:44" ht="12.6" customHeight="1" x14ac:dyDescent="0.25">
      <c r="N46" s="43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  <c r="AC46" s="28"/>
    </row>
    <row r="47" spans="2:44" ht="12.6" customHeight="1" x14ac:dyDescent="0.25">
      <c r="N47" s="20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</sheetData>
  <phoneticPr fontId="18" type="noConversion"/>
  <dataValidations count="1">
    <dataValidation type="list" allowBlank="1" showInputMessage="1" showErrorMessage="1" sqref="F6:F40 N6:N40" xr:uid="{C3F345A5-89C9-4A7D-A976-D403061068DC}">
      <formula1>"TRUE,FALSE"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4D93F-604F-45AE-97E7-0F90641A659B}">
  <sheetPr codeName="Sheet8">
    <tabColor theme="4" tint="0.39997558519241921"/>
  </sheetPr>
  <dimension ref="B1:H48"/>
  <sheetViews>
    <sheetView showGridLines="0" zoomScale="75" zoomScaleNormal="75" workbookViewId="0">
      <pane ySplit="5" topLeftCell="A6" activePane="bottomLeft" state="frozen"/>
      <selection activeCell="A3" sqref="A3:XFD3"/>
      <selection pane="bottomLeft" activeCell="F37" sqref="F37"/>
    </sheetView>
  </sheetViews>
  <sheetFormatPr defaultColWidth="14" defaultRowHeight="12.75" x14ac:dyDescent="0.2"/>
  <cols>
    <col min="1" max="1" width="1.7109375" style="4" customWidth="1"/>
    <col min="2" max="2" width="13.42578125" style="5" customWidth="1"/>
    <col min="3" max="3" width="26.7109375" style="4" bestFit="1" customWidth="1"/>
    <col min="4" max="5" width="14" style="5" customWidth="1"/>
    <col min="6" max="6" width="18.28515625" style="4" bestFit="1" customWidth="1"/>
    <col min="7" max="7" width="14" style="5" customWidth="1"/>
    <col min="8" max="8" width="14" style="4" customWidth="1"/>
    <col min="9" max="16384" width="14" style="4"/>
  </cols>
  <sheetData>
    <row r="1" spans="2:8" ht="21" customHeight="1" x14ac:dyDescent="0.3">
      <c r="B1" s="17" t="str" cm="1">
        <f t="array" ref="B1">Company_Name</f>
        <v>Pinnacle Supplier DBA Candy Confection</v>
      </c>
    </row>
    <row r="2" spans="2:8" ht="16.5" customHeight="1" x14ac:dyDescent="0.2">
      <c r="B2" s="1" t="s">
        <v>345</v>
      </c>
      <c r="F2" s="129" t="s">
        <v>281</v>
      </c>
    </row>
    <row r="3" spans="2:8" ht="16.5" customHeight="1" x14ac:dyDescent="0.2">
      <c r="B3" s="4" t="s">
        <v>243</v>
      </c>
      <c r="F3" s="130">
        <v>45657</v>
      </c>
    </row>
    <row r="4" spans="2:8" x14ac:dyDescent="0.2">
      <c r="F4" s="128"/>
    </row>
    <row r="5" spans="2:8" x14ac:dyDescent="0.2">
      <c r="B5" s="119" t="s">
        <v>288</v>
      </c>
      <c r="C5" s="118" t="s">
        <v>287</v>
      </c>
      <c r="D5" s="132" t="s">
        <v>283</v>
      </c>
      <c r="E5" s="132" t="s">
        <v>284</v>
      </c>
      <c r="F5" s="119" t="s">
        <v>286</v>
      </c>
      <c r="G5" s="132" t="s">
        <v>282</v>
      </c>
      <c r="H5" s="313" t="s">
        <v>285</v>
      </c>
    </row>
    <row r="6" spans="2:8" x14ac:dyDescent="0.2">
      <c r="B6" s="5">
        <v>35</v>
      </c>
      <c r="C6" s="4" t="s">
        <v>225</v>
      </c>
      <c r="D6" s="5">
        <v>10001</v>
      </c>
      <c r="E6" s="133">
        <v>45623</v>
      </c>
      <c r="F6" s="127">
        <v>284168.31655524502</v>
      </c>
      <c r="G6" s="5">
        <v>60</v>
      </c>
      <c r="H6" s="131">
        <f>AR_aging_tbl[[#This Row],[Invoice_Date]]+AR_aging_tbl[[#This Row],[Terms]]</f>
        <v>45683</v>
      </c>
    </row>
    <row r="7" spans="2:8" x14ac:dyDescent="0.2">
      <c r="B7" s="5">
        <v>1</v>
      </c>
      <c r="C7" s="4" t="s">
        <v>191</v>
      </c>
      <c r="D7" s="5">
        <v>10144</v>
      </c>
      <c r="E7" s="133">
        <v>45647</v>
      </c>
      <c r="F7" s="127">
        <v>18313.337568681702</v>
      </c>
      <c r="G7" s="5">
        <v>14</v>
      </c>
      <c r="H7" s="131">
        <f>AR_aging_tbl[[#This Row],[Invoice_Date]]+AR_aging_tbl[[#This Row],[Terms]]</f>
        <v>45661</v>
      </c>
    </row>
    <row r="8" spans="2:8" x14ac:dyDescent="0.2">
      <c r="B8" s="5">
        <v>2</v>
      </c>
      <c r="C8" s="4" t="s">
        <v>192</v>
      </c>
      <c r="D8" s="5">
        <v>10098</v>
      </c>
      <c r="E8" s="133">
        <v>45611</v>
      </c>
      <c r="F8" s="127">
        <v>206362.424581784</v>
      </c>
      <c r="G8" s="5">
        <v>60</v>
      </c>
      <c r="H8" s="131">
        <f>AR_aging_tbl[[#This Row],[Invoice_Date]]+AR_aging_tbl[[#This Row],[Terms]]</f>
        <v>45671</v>
      </c>
    </row>
    <row r="9" spans="2:8" x14ac:dyDescent="0.2">
      <c r="B9" s="5">
        <v>63</v>
      </c>
      <c r="C9" s="4" t="s">
        <v>180</v>
      </c>
      <c r="D9" s="5">
        <v>10015</v>
      </c>
      <c r="E9" s="133">
        <v>45608</v>
      </c>
      <c r="F9" s="127">
        <v>11118.958249766099</v>
      </c>
      <c r="G9" s="5">
        <v>60</v>
      </c>
      <c r="H9" s="131">
        <f>AR_aging_tbl[[#This Row],[Invoice_Date]]+AR_aging_tbl[[#This Row],[Terms]]</f>
        <v>45668</v>
      </c>
    </row>
    <row r="10" spans="2:8" x14ac:dyDescent="0.2">
      <c r="B10" s="5">
        <v>5</v>
      </c>
      <c r="C10" s="4" t="s">
        <v>195</v>
      </c>
      <c r="D10" s="5">
        <v>10148</v>
      </c>
      <c r="E10" s="133">
        <v>45608</v>
      </c>
      <c r="F10" s="127">
        <v>283721.39217978902</v>
      </c>
      <c r="G10" s="5">
        <v>60</v>
      </c>
      <c r="H10" s="131">
        <f>AR_aging_tbl[[#This Row],[Invoice_Date]]+AR_aging_tbl[[#This Row],[Terms]]</f>
        <v>45668</v>
      </c>
    </row>
    <row r="11" spans="2:8" x14ac:dyDescent="0.2">
      <c r="B11" s="5">
        <v>42</v>
      </c>
      <c r="C11" s="4" t="s">
        <v>159</v>
      </c>
      <c r="D11" s="5">
        <v>10263</v>
      </c>
      <c r="E11" s="133">
        <v>45610</v>
      </c>
      <c r="F11" s="127">
        <v>48873.098093824803</v>
      </c>
      <c r="G11" s="5">
        <v>60</v>
      </c>
      <c r="H11" s="131">
        <f>AR_aging_tbl[[#This Row],[Invoice_Date]]+AR_aging_tbl[[#This Row],[Terms]]</f>
        <v>45670</v>
      </c>
    </row>
    <row r="12" spans="2:8" x14ac:dyDescent="0.2">
      <c r="B12" s="5">
        <v>12</v>
      </c>
      <c r="C12" s="4" t="s">
        <v>202</v>
      </c>
      <c r="D12" s="5">
        <v>10169</v>
      </c>
      <c r="E12" s="133">
        <v>45656</v>
      </c>
      <c r="F12" s="127">
        <v>201991.87237213401</v>
      </c>
      <c r="G12" s="5">
        <v>14</v>
      </c>
      <c r="H12" s="131">
        <f>AR_aging_tbl[[#This Row],[Invoice_Date]]+AR_aging_tbl[[#This Row],[Terms]]</f>
        <v>45670</v>
      </c>
    </row>
    <row r="13" spans="2:8" x14ac:dyDescent="0.2">
      <c r="B13" s="5">
        <v>20</v>
      </c>
      <c r="C13" s="4" t="s">
        <v>210</v>
      </c>
      <c r="D13" s="5">
        <v>10198</v>
      </c>
      <c r="E13" s="133">
        <v>45604</v>
      </c>
      <c r="F13" s="127">
        <v>95971.349911935002</v>
      </c>
      <c r="G13" s="5">
        <v>60</v>
      </c>
      <c r="H13" s="131">
        <f>AR_aging_tbl[[#This Row],[Invoice_Date]]+AR_aging_tbl[[#This Row],[Terms]]</f>
        <v>45664</v>
      </c>
    </row>
    <row r="14" spans="2:8" x14ac:dyDescent="0.2">
      <c r="B14" s="5">
        <v>6</v>
      </c>
      <c r="C14" s="4" t="s">
        <v>196</v>
      </c>
      <c r="D14" s="5">
        <v>10258</v>
      </c>
      <c r="E14" s="133">
        <v>45634</v>
      </c>
      <c r="F14" s="127">
        <v>254833.725775136</v>
      </c>
      <c r="G14" s="5">
        <v>45</v>
      </c>
      <c r="H14" s="131">
        <f>AR_aging_tbl[[#This Row],[Invoice_Date]]+AR_aging_tbl[[#This Row],[Terms]]</f>
        <v>45679</v>
      </c>
    </row>
    <row r="15" spans="2:8" x14ac:dyDescent="0.2">
      <c r="B15" s="5">
        <v>49</v>
      </c>
      <c r="C15" s="4" t="s">
        <v>166</v>
      </c>
      <c r="D15" s="5">
        <v>10283</v>
      </c>
      <c r="E15" s="133">
        <v>45646</v>
      </c>
      <c r="F15" s="127">
        <v>315318.30997699598</v>
      </c>
      <c r="G15" s="5">
        <v>45</v>
      </c>
      <c r="H15" s="131">
        <f>AR_aging_tbl[[#This Row],[Invoice_Date]]+AR_aging_tbl[[#This Row],[Terms]]</f>
        <v>45691</v>
      </c>
    </row>
    <row r="16" spans="2:8" x14ac:dyDescent="0.2">
      <c r="B16" s="5">
        <v>64</v>
      </c>
      <c r="C16" s="4" t="s">
        <v>181</v>
      </c>
      <c r="D16" s="5">
        <v>10009</v>
      </c>
      <c r="E16" s="133">
        <v>45637</v>
      </c>
      <c r="F16" s="127">
        <v>165212.26232437001</v>
      </c>
      <c r="G16" s="5">
        <v>60</v>
      </c>
      <c r="H16" s="131">
        <f>AR_aging_tbl[[#This Row],[Invoice_Date]]+AR_aging_tbl[[#This Row],[Terms]]</f>
        <v>45697</v>
      </c>
    </row>
    <row r="17" spans="2:8" x14ac:dyDescent="0.2">
      <c r="B17" s="5">
        <v>55</v>
      </c>
      <c r="C17" s="4" t="s">
        <v>172</v>
      </c>
      <c r="D17" s="5">
        <v>10175</v>
      </c>
      <c r="E17" s="133">
        <v>45656</v>
      </c>
      <c r="F17" s="127">
        <v>46493.123233578597</v>
      </c>
      <c r="G17" s="5">
        <v>14</v>
      </c>
      <c r="H17" s="131">
        <f>AR_aging_tbl[[#This Row],[Invoice_Date]]+AR_aging_tbl[[#This Row],[Terms]]</f>
        <v>45670</v>
      </c>
    </row>
    <row r="18" spans="2:8" x14ac:dyDescent="0.2">
      <c r="B18" s="5">
        <v>13</v>
      </c>
      <c r="C18" s="4" t="s">
        <v>203</v>
      </c>
      <c r="D18" s="5">
        <v>10194</v>
      </c>
      <c r="E18" s="133">
        <v>45610</v>
      </c>
      <c r="F18" s="127">
        <v>47528.818281224303</v>
      </c>
      <c r="G18" s="5">
        <v>60</v>
      </c>
      <c r="H18" s="131">
        <f>AR_aging_tbl[[#This Row],[Invoice_Date]]+AR_aging_tbl[[#This Row],[Terms]]</f>
        <v>45670</v>
      </c>
    </row>
    <row r="19" spans="2:8" x14ac:dyDescent="0.2">
      <c r="B19" s="5">
        <v>32</v>
      </c>
      <c r="C19" s="4" t="s">
        <v>222</v>
      </c>
      <c r="D19" s="5">
        <v>10146</v>
      </c>
      <c r="E19" s="133">
        <v>45644</v>
      </c>
      <c r="F19" s="127">
        <v>71597.259854250195</v>
      </c>
      <c r="G19" s="5">
        <v>14</v>
      </c>
      <c r="H19" s="131">
        <f>AR_aging_tbl[[#This Row],[Invoice_Date]]+AR_aging_tbl[[#This Row],[Terms]]</f>
        <v>45658</v>
      </c>
    </row>
    <row r="20" spans="2:8" x14ac:dyDescent="0.2">
      <c r="B20" s="5">
        <v>66</v>
      </c>
      <c r="C20" s="4" t="s">
        <v>183</v>
      </c>
      <c r="D20" s="5">
        <v>10247</v>
      </c>
      <c r="E20" s="133">
        <v>45607</v>
      </c>
      <c r="F20" s="127">
        <v>46221.751684847397</v>
      </c>
      <c r="G20" s="5">
        <v>60</v>
      </c>
      <c r="H20" s="131">
        <f>AR_aging_tbl[[#This Row],[Invoice_Date]]+AR_aging_tbl[[#This Row],[Terms]]</f>
        <v>45667</v>
      </c>
    </row>
    <row r="21" spans="2:8" x14ac:dyDescent="0.2">
      <c r="B21" s="5">
        <v>51</v>
      </c>
      <c r="C21" s="4" t="s">
        <v>168</v>
      </c>
      <c r="D21" s="5">
        <v>10242</v>
      </c>
      <c r="E21" s="133">
        <v>45624</v>
      </c>
      <c r="F21" s="127">
        <v>404639.66748460202</v>
      </c>
      <c r="G21" s="5">
        <v>60</v>
      </c>
      <c r="H21" s="131">
        <f>AR_aging_tbl[[#This Row],[Invoice_Date]]+AR_aging_tbl[[#This Row],[Terms]]</f>
        <v>45684</v>
      </c>
    </row>
    <row r="22" spans="2:8" x14ac:dyDescent="0.2">
      <c r="B22" s="5">
        <v>53</v>
      </c>
      <c r="C22" s="4" t="s">
        <v>170</v>
      </c>
      <c r="D22" s="5">
        <v>10252</v>
      </c>
      <c r="E22" s="133">
        <v>45645</v>
      </c>
      <c r="F22" s="127">
        <v>61269.656331584702</v>
      </c>
      <c r="G22" s="5">
        <v>14</v>
      </c>
      <c r="H22" s="131">
        <f>AR_aging_tbl[[#This Row],[Invoice_Date]]+AR_aging_tbl[[#This Row],[Terms]]</f>
        <v>45659</v>
      </c>
    </row>
    <row r="23" spans="2:8" x14ac:dyDescent="0.2">
      <c r="B23" s="5">
        <v>43</v>
      </c>
      <c r="C23" s="4" t="s">
        <v>160</v>
      </c>
      <c r="D23" s="5">
        <v>10049</v>
      </c>
      <c r="E23" s="133">
        <v>45644</v>
      </c>
      <c r="F23" s="127">
        <v>88142.305367595502</v>
      </c>
      <c r="G23" s="5">
        <v>14</v>
      </c>
      <c r="H23" s="131">
        <f>AR_aging_tbl[[#This Row],[Invoice_Date]]+AR_aging_tbl[[#This Row],[Terms]]</f>
        <v>45658</v>
      </c>
    </row>
    <row r="24" spans="2:8" x14ac:dyDescent="0.2">
      <c r="B24" s="5">
        <v>18</v>
      </c>
      <c r="C24" s="4" t="s">
        <v>208</v>
      </c>
      <c r="D24" s="5">
        <v>10212</v>
      </c>
      <c r="E24" s="133">
        <v>45599</v>
      </c>
      <c r="F24" s="127">
        <v>166455.45374803201</v>
      </c>
      <c r="G24" s="5">
        <v>60</v>
      </c>
      <c r="H24" s="131">
        <f>AR_aging_tbl[[#This Row],[Invoice_Date]]+AR_aging_tbl[[#This Row],[Terms]]</f>
        <v>45659</v>
      </c>
    </row>
    <row r="25" spans="2:8" x14ac:dyDescent="0.2">
      <c r="B25" s="5">
        <v>28</v>
      </c>
      <c r="C25" s="4" t="s">
        <v>218</v>
      </c>
      <c r="D25" s="5">
        <v>10088</v>
      </c>
      <c r="E25" s="133">
        <v>45609</v>
      </c>
      <c r="F25" s="127">
        <v>44706.066625358799</v>
      </c>
      <c r="G25" s="5">
        <v>60</v>
      </c>
      <c r="H25" s="131">
        <f>AR_aging_tbl[[#This Row],[Invoice_Date]]+AR_aging_tbl[[#This Row],[Terms]]</f>
        <v>45669</v>
      </c>
    </row>
    <row r="26" spans="2:8" x14ac:dyDescent="0.2">
      <c r="B26" s="5">
        <v>72</v>
      </c>
      <c r="C26" s="4" t="s">
        <v>189</v>
      </c>
      <c r="D26" s="5">
        <v>10101</v>
      </c>
      <c r="E26" s="133">
        <v>45627</v>
      </c>
      <c r="F26" s="127">
        <v>63082.226655038998</v>
      </c>
      <c r="G26" s="5">
        <v>45</v>
      </c>
      <c r="H26" s="131">
        <f>AR_aging_tbl[[#This Row],[Invoice_Date]]+AR_aging_tbl[[#This Row],[Terms]]</f>
        <v>45672</v>
      </c>
    </row>
    <row r="27" spans="2:8" x14ac:dyDescent="0.2">
      <c r="B27" s="5">
        <v>15</v>
      </c>
      <c r="C27" s="4" t="s">
        <v>205</v>
      </c>
      <c r="D27" s="5">
        <v>10143</v>
      </c>
      <c r="E27" s="133">
        <v>45637</v>
      </c>
      <c r="F27" s="127">
        <v>158188.74148545801</v>
      </c>
      <c r="G27" s="5">
        <v>30</v>
      </c>
      <c r="H27" s="131">
        <f>AR_aging_tbl[[#This Row],[Invoice_Date]]+AR_aging_tbl[[#This Row],[Terms]]</f>
        <v>45667</v>
      </c>
    </row>
    <row r="28" spans="2:8" x14ac:dyDescent="0.2">
      <c r="B28" s="5">
        <v>11</v>
      </c>
      <c r="C28" s="4" t="s">
        <v>201</v>
      </c>
      <c r="D28" s="5">
        <v>10005</v>
      </c>
      <c r="E28" s="133">
        <v>45649</v>
      </c>
      <c r="F28" s="127">
        <v>85828.533871558902</v>
      </c>
      <c r="G28" s="5">
        <v>14</v>
      </c>
      <c r="H28" s="131">
        <f>AR_aging_tbl[[#This Row],[Invoice_Date]]+AR_aging_tbl[[#This Row],[Terms]]</f>
        <v>45663</v>
      </c>
    </row>
    <row r="29" spans="2:8" x14ac:dyDescent="0.2">
      <c r="B29" s="5">
        <v>59</v>
      </c>
      <c r="C29" s="4" t="s">
        <v>176</v>
      </c>
      <c r="D29" s="5">
        <v>10264</v>
      </c>
      <c r="E29" s="133">
        <v>45608</v>
      </c>
      <c r="F29" s="127">
        <v>194370.57792657401</v>
      </c>
      <c r="G29" s="5">
        <v>60</v>
      </c>
      <c r="H29" s="131">
        <f>AR_aging_tbl[[#This Row],[Invoice_Date]]+AR_aging_tbl[[#This Row],[Terms]]</f>
        <v>45668</v>
      </c>
    </row>
    <row r="30" spans="2:8" x14ac:dyDescent="0.2">
      <c r="B30" s="5">
        <v>26</v>
      </c>
      <c r="C30" s="4" t="s">
        <v>216</v>
      </c>
      <c r="D30" s="5">
        <v>10076</v>
      </c>
      <c r="E30" s="133">
        <v>45641</v>
      </c>
      <c r="F30" s="127">
        <v>11318.648541210599</v>
      </c>
      <c r="G30" s="5">
        <v>30</v>
      </c>
      <c r="H30" s="131">
        <f>AR_aging_tbl[[#This Row],[Invoice_Date]]+AR_aging_tbl[[#This Row],[Terms]]</f>
        <v>45671</v>
      </c>
    </row>
    <row r="31" spans="2:8" x14ac:dyDescent="0.2">
      <c r="B31" s="5">
        <v>4</v>
      </c>
      <c r="C31" s="4" t="s">
        <v>194</v>
      </c>
      <c r="D31" s="5">
        <v>10064</v>
      </c>
      <c r="E31" s="133">
        <v>45621</v>
      </c>
      <c r="F31" s="127">
        <v>124837.4617883</v>
      </c>
      <c r="G31" s="5">
        <v>45</v>
      </c>
      <c r="H31" s="131">
        <f>AR_aging_tbl[[#This Row],[Invoice_Date]]+AR_aging_tbl[[#This Row],[Terms]]</f>
        <v>45666</v>
      </c>
    </row>
    <row r="32" spans="2:8" x14ac:dyDescent="0.2">
      <c r="B32" s="5">
        <v>46</v>
      </c>
      <c r="C32" s="4" t="s">
        <v>163</v>
      </c>
      <c r="D32" s="5">
        <v>10099</v>
      </c>
      <c r="E32" s="133">
        <v>45631</v>
      </c>
      <c r="F32" s="127">
        <v>3196.7846925327599</v>
      </c>
      <c r="G32" s="5">
        <v>30</v>
      </c>
      <c r="H32" s="131">
        <f>AR_aging_tbl[[#This Row],[Invoice_Date]]+AR_aging_tbl[[#This Row],[Terms]]</f>
        <v>45661</v>
      </c>
    </row>
    <row r="33" spans="2:8" x14ac:dyDescent="0.2">
      <c r="B33" s="5">
        <v>39</v>
      </c>
      <c r="C33" s="4" t="s">
        <v>156</v>
      </c>
      <c r="D33" s="5">
        <v>10217</v>
      </c>
      <c r="E33" s="133">
        <v>45627</v>
      </c>
      <c r="F33" s="127">
        <v>74834.339211852493</v>
      </c>
      <c r="G33" s="5">
        <v>45</v>
      </c>
      <c r="H33" s="131">
        <f>AR_aging_tbl[[#This Row],[Invoice_Date]]+AR_aging_tbl[[#This Row],[Terms]]</f>
        <v>45672</v>
      </c>
    </row>
    <row r="34" spans="2:8" x14ac:dyDescent="0.2">
      <c r="B34" s="5">
        <v>67</v>
      </c>
      <c r="C34" s="4" t="s">
        <v>184</v>
      </c>
      <c r="D34" s="5">
        <v>10274</v>
      </c>
      <c r="E34" s="133">
        <v>45650</v>
      </c>
      <c r="F34" s="127">
        <v>126719.491014026</v>
      </c>
      <c r="G34" s="5">
        <v>14</v>
      </c>
      <c r="H34" s="131">
        <f>AR_aging_tbl[[#This Row],[Invoice_Date]]+AR_aging_tbl[[#This Row],[Terms]]</f>
        <v>45664</v>
      </c>
    </row>
    <row r="35" spans="2:8" x14ac:dyDescent="0.2">
      <c r="B35" s="5">
        <v>40</v>
      </c>
      <c r="C35" s="4" t="s">
        <v>157</v>
      </c>
      <c r="D35" s="5">
        <v>10058</v>
      </c>
      <c r="E35" s="133">
        <v>45634</v>
      </c>
      <c r="F35" s="127">
        <v>38977.261174409199</v>
      </c>
      <c r="G35" s="5">
        <v>30</v>
      </c>
      <c r="H35" s="131">
        <f>AR_aging_tbl[[#This Row],[Invoice_Date]]+AR_aging_tbl[[#This Row],[Terms]]</f>
        <v>45664</v>
      </c>
    </row>
    <row r="36" spans="2:8" x14ac:dyDescent="0.2">
      <c r="B36" s="5">
        <v>54</v>
      </c>
      <c r="C36" s="4" t="s">
        <v>171</v>
      </c>
      <c r="D36" s="5">
        <v>10070</v>
      </c>
      <c r="E36" s="133">
        <v>45621</v>
      </c>
      <c r="F36" s="127">
        <v>300573.83820932201</v>
      </c>
      <c r="G36" s="5">
        <v>60</v>
      </c>
      <c r="H36" s="131">
        <f>AR_aging_tbl[[#This Row],[Invoice_Date]]+AR_aging_tbl[[#This Row],[Terms]]</f>
        <v>45681</v>
      </c>
    </row>
    <row r="37" spans="2:8" x14ac:dyDescent="0.2">
      <c r="B37" s="5">
        <v>61</v>
      </c>
      <c r="C37" s="4" t="s">
        <v>178</v>
      </c>
      <c r="D37" s="5">
        <v>10191</v>
      </c>
      <c r="E37" s="133">
        <v>45614</v>
      </c>
      <c r="F37" s="127">
        <v>125703.074744132</v>
      </c>
      <c r="G37" s="5">
        <v>45</v>
      </c>
      <c r="H37" s="131">
        <f>AR_aging_tbl[[#This Row],[Invoice_Date]]+AR_aging_tbl[[#This Row],[Terms]]</f>
        <v>45659</v>
      </c>
    </row>
    <row r="38" spans="2:8" x14ac:dyDescent="0.2">
      <c r="B38" s="5">
        <v>58</v>
      </c>
      <c r="C38" s="4" t="s">
        <v>175</v>
      </c>
      <c r="D38" s="5">
        <v>10147</v>
      </c>
      <c r="E38" s="133">
        <v>45604</v>
      </c>
      <c r="F38" s="127">
        <v>467642.26970735198</v>
      </c>
      <c r="G38" s="5">
        <v>60</v>
      </c>
      <c r="H38" s="131">
        <f>AR_aging_tbl[[#This Row],[Invoice_Date]]+AR_aging_tbl[[#This Row],[Terms]]</f>
        <v>45664</v>
      </c>
    </row>
    <row r="39" spans="2:8" x14ac:dyDescent="0.2">
      <c r="B39" s="5">
        <v>47</v>
      </c>
      <c r="C39" s="4" t="s">
        <v>164</v>
      </c>
      <c r="D39" s="5">
        <v>10171</v>
      </c>
      <c r="E39" s="133">
        <v>45648</v>
      </c>
      <c r="F39" s="127">
        <v>6522.7027807287204</v>
      </c>
      <c r="G39" s="5">
        <v>14</v>
      </c>
      <c r="H39" s="131">
        <f>AR_aging_tbl[[#This Row],[Invoice_Date]]+AR_aging_tbl[[#This Row],[Terms]]</f>
        <v>45662</v>
      </c>
    </row>
    <row r="40" spans="2:8" x14ac:dyDescent="0.2">
      <c r="B40" s="5">
        <v>37</v>
      </c>
      <c r="C40" s="4" t="s">
        <v>227</v>
      </c>
      <c r="D40" s="5">
        <v>10256</v>
      </c>
      <c r="E40" s="133">
        <v>45614</v>
      </c>
      <c r="F40" s="127">
        <v>61304.929282813697</v>
      </c>
      <c r="G40" s="5">
        <v>60</v>
      </c>
      <c r="H40" s="131">
        <f>AR_aging_tbl[[#This Row],[Invoice_Date]]+AR_aging_tbl[[#This Row],[Terms]]</f>
        <v>45674</v>
      </c>
    </row>
    <row r="41" spans="2:8" x14ac:dyDescent="0.2">
      <c r="B41" s="5">
        <v>68</v>
      </c>
      <c r="C41" s="4" t="s">
        <v>185</v>
      </c>
      <c r="D41" s="5">
        <v>10209</v>
      </c>
      <c r="E41" s="133">
        <v>45642</v>
      </c>
      <c r="F41" s="127">
        <v>281807.81738721201</v>
      </c>
      <c r="G41" s="5">
        <v>45</v>
      </c>
      <c r="H41" s="131">
        <f>AR_aging_tbl[[#This Row],[Invoice_Date]]+AR_aging_tbl[[#This Row],[Terms]]</f>
        <v>45687</v>
      </c>
    </row>
    <row r="42" spans="2:8" x14ac:dyDescent="0.2">
      <c r="B42" s="5">
        <v>69</v>
      </c>
      <c r="C42" s="4" t="s">
        <v>186</v>
      </c>
      <c r="D42" s="5">
        <v>10186</v>
      </c>
      <c r="E42" s="133">
        <v>45616</v>
      </c>
      <c r="F42" s="127">
        <v>60647.105305413403</v>
      </c>
      <c r="G42" s="5">
        <v>60</v>
      </c>
      <c r="H42" s="131">
        <f>AR_aging_tbl[[#This Row],[Invoice_Date]]+AR_aging_tbl[[#This Row],[Terms]]</f>
        <v>45676</v>
      </c>
    </row>
    <row r="43" spans="2:8" x14ac:dyDescent="0.2">
      <c r="B43" s="5">
        <v>34</v>
      </c>
      <c r="C43" s="4" t="s">
        <v>224</v>
      </c>
      <c r="D43" s="5">
        <v>10001</v>
      </c>
      <c r="E43" s="133">
        <v>45617</v>
      </c>
      <c r="F43" s="127">
        <v>78952.693565562004</v>
      </c>
      <c r="G43" s="5">
        <v>60</v>
      </c>
      <c r="H43" s="131">
        <f>AR_aging_tbl[[#This Row],[Invoice_Date]]+AR_aging_tbl[[#This Row],[Terms]]</f>
        <v>45677</v>
      </c>
    </row>
    <row r="44" spans="2:8" x14ac:dyDescent="0.2">
      <c r="B44" s="5">
        <v>16</v>
      </c>
      <c r="C44" s="4" t="s">
        <v>206</v>
      </c>
      <c r="D44" s="5">
        <v>10285</v>
      </c>
      <c r="E44" s="133">
        <v>45618</v>
      </c>
      <c r="F44" s="127">
        <v>90917.429113470294</v>
      </c>
      <c r="G44" s="5">
        <v>60</v>
      </c>
      <c r="H44" s="131">
        <f>AR_aging_tbl[[#This Row],[Invoice_Date]]+AR_aging_tbl[[#This Row],[Terms]]</f>
        <v>45678</v>
      </c>
    </row>
    <row r="45" spans="2:8" x14ac:dyDescent="0.2">
      <c r="B45" s="5">
        <v>71</v>
      </c>
      <c r="C45" s="4" t="s">
        <v>188</v>
      </c>
      <c r="D45" s="5">
        <v>10399</v>
      </c>
      <c r="E45" s="133">
        <v>45653</v>
      </c>
      <c r="F45" s="127">
        <v>51037.423342289403</v>
      </c>
      <c r="G45" s="5">
        <v>30</v>
      </c>
      <c r="H45" s="131">
        <f>AR_aging_tbl[[#This Row],[Invoice_Date]]+AR_aging_tbl[[#This Row],[Terms]]</f>
        <v>45683</v>
      </c>
    </row>
    <row r="46" spans="2:8" ht="15" x14ac:dyDescent="0.25">
      <c r="B46" s="5" t="s">
        <v>10</v>
      </c>
      <c r="F46" s="127">
        <f>SUBTOTAL(109,AR_aging_tbl[AR_Aging])</f>
        <v>5269402.4999999916</v>
      </c>
      <c r="G46" s="22"/>
      <c r="H46"/>
    </row>
    <row r="48" spans="2:8" x14ac:dyDescent="0.2">
      <c r="F48" s="126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19C05-37C4-418D-B501-E46DCC9157BB}">
  <sheetPr codeName="Sheet9">
    <tabColor theme="4" tint="0.39997558519241921"/>
  </sheetPr>
  <dimension ref="B1:J21"/>
  <sheetViews>
    <sheetView showGridLines="0" zoomScale="75" zoomScaleNormal="75" workbookViewId="0">
      <pane ySplit="5" topLeftCell="A6" activePane="bottomLeft" state="frozen"/>
      <selection activeCell="A3" sqref="A3:XFD3"/>
      <selection pane="bottomLeft" activeCell="G6" sqref="G6"/>
    </sheetView>
  </sheetViews>
  <sheetFormatPr defaultColWidth="14" defaultRowHeight="12.75" x14ac:dyDescent="0.2"/>
  <cols>
    <col min="1" max="1" width="1.7109375" style="4" customWidth="1"/>
    <col min="2" max="2" width="13.42578125" style="5" customWidth="1"/>
    <col min="3" max="3" width="26.7109375" style="4" bestFit="1" customWidth="1"/>
    <col min="4" max="5" width="14" style="5" customWidth="1"/>
    <col min="6" max="6" width="14" style="4" customWidth="1"/>
    <col min="7" max="8" width="14" style="5" customWidth="1"/>
    <col min="9" max="9" width="14" style="4" customWidth="1"/>
    <col min="10" max="16384" width="14" style="4"/>
  </cols>
  <sheetData>
    <row r="1" spans="2:10" ht="21" customHeight="1" x14ac:dyDescent="0.3">
      <c r="B1" s="17" t="str" cm="1">
        <f t="array" ref="B1">Company_Name</f>
        <v>Pinnacle Supplier DBA Candy Confection</v>
      </c>
    </row>
    <row r="2" spans="2:10" ht="16.5" customHeight="1" x14ac:dyDescent="0.2">
      <c r="B2" s="1" t="s">
        <v>344</v>
      </c>
      <c r="F2" s="129" t="s">
        <v>281</v>
      </c>
    </row>
    <row r="3" spans="2:10" ht="16.5" customHeight="1" x14ac:dyDescent="0.2">
      <c r="B3" s="4" t="s">
        <v>243</v>
      </c>
      <c r="F3" s="130">
        <v>45657</v>
      </c>
    </row>
    <row r="4" spans="2:10" x14ac:dyDescent="0.2">
      <c r="F4" s="128"/>
    </row>
    <row r="5" spans="2:10" x14ac:dyDescent="0.2">
      <c r="B5" s="119" t="s">
        <v>290</v>
      </c>
      <c r="C5" s="118" t="s">
        <v>291</v>
      </c>
      <c r="D5" s="132" t="s">
        <v>292</v>
      </c>
      <c r="E5" s="132" t="s">
        <v>293</v>
      </c>
      <c r="F5" s="125" t="s">
        <v>294</v>
      </c>
      <c r="G5" s="132" t="s">
        <v>282</v>
      </c>
      <c r="H5" s="132" t="s">
        <v>386</v>
      </c>
      <c r="I5" s="313" t="s">
        <v>295</v>
      </c>
    </row>
    <row r="6" spans="2:10" x14ac:dyDescent="0.2">
      <c r="B6" s="5">
        <v>12</v>
      </c>
      <c r="C6" s="4" t="s">
        <v>296</v>
      </c>
      <c r="D6" s="5">
        <v>2046</v>
      </c>
      <c r="E6" s="133">
        <v>45619</v>
      </c>
      <c r="F6" s="48">
        <v>380550</v>
      </c>
      <c r="G6" s="5">
        <v>45</v>
      </c>
      <c r="H6" s="7">
        <v>0</v>
      </c>
      <c r="I6" s="131">
        <f>AP_aging_tbl[[#This Row],[PO_Date]]+AP_aging_tbl[[#This Row],[Terms]]+AP_aging_tbl[[#This Row],[Delay]]</f>
        <v>45664</v>
      </c>
      <c r="J6" s="127"/>
    </row>
    <row r="7" spans="2:10" x14ac:dyDescent="0.2">
      <c r="B7" s="5">
        <v>4</v>
      </c>
      <c r="C7" s="4" t="s">
        <v>297</v>
      </c>
      <c r="D7" s="5">
        <v>2145</v>
      </c>
      <c r="E7" s="133">
        <v>45643</v>
      </c>
      <c r="F7" s="48">
        <v>58028</v>
      </c>
      <c r="G7" s="5">
        <v>45</v>
      </c>
      <c r="H7" s="7">
        <v>0</v>
      </c>
      <c r="I7" s="131">
        <f>AP_aging_tbl[[#This Row],[PO_Date]]+AP_aging_tbl[[#This Row],[Terms]]+AP_aging_tbl[[#This Row],[Delay]]</f>
        <v>45688</v>
      </c>
      <c r="J7" s="127"/>
    </row>
    <row r="8" spans="2:10" x14ac:dyDescent="0.2">
      <c r="B8" s="5">
        <v>5</v>
      </c>
      <c r="C8" s="4" t="s">
        <v>298</v>
      </c>
      <c r="D8" s="5">
        <v>2055</v>
      </c>
      <c r="E8" s="133">
        <v>45613</v>
      </c>
      <c r="F8" s="48">
        <v>980500</v>
      </c>
      <c r="G8" s="5">
        <v>45</v>
      </c>
      <c r="H8" s="7">
        <v>0</v>
      </c>
      <c r="I8" s="131">
        <f>AP_aging_tbl[[#This Row],[PO_Date]]+AP_aging_tbl[[#This Row],[Terms]]+AP_aging_tbl[[#This Row],[Delay]]</f>
        <v>45658</v>
      </c>
      <c r="J8" s="127"/>
    </row>
    <row r="9" spans="2:10" x14ac:dyDescent="0.2">
      <c r="B9" s="5">
        <v>21</v>
      </c>
      <c r="C9" s="4" t="s">
        <v>299</v>
      </c>
      <c r="D9" s="5">
        <v>2074</v>
      </c>
      <c r="E9" s="133">
        <v>45625</v>
      </c>
      <c r="F9" s="48">
        <v>653500</v>
      </c>
      <c r="G9" s="5">
        <v>45</v>
      </c>
      <c r="H9" s="7">
        <v>0</v>
      </c>
      <c r="I9" s="131">
        <f>AP_aging_tbl[[#This Row],[PO_Date]]+AP_aging_tbl[[#This Row],[Terms]]+AP_aging_tbl[[#This Row],[Delay]]</f>
        <v>45670</v>
      </c>
      <c r="J9" s="127"/>
    </row>
    <row r="10" spans="2:10" x14ac:dyDescent="0.2">
      <c r="B10" s="5">
        <v>15</v>
      </c>
      <c r="C10" s="4" t="s">
        <v>300</v>
      </c>
      <c r="D10" s="5">
        <v>2053</v>
      </c>
      <c r="E10" s="133">
        <v>45641</v>
      </c>
      <c r="F10" s="48">
        <v>115148</v>
      </c>
      <c r="G10" s="5">
        <v>30</v>
      </c>
      <c r="H10" s="7">
        <v>0</v>
      </c>
      <c r="I10" s="131">
        <f>AP_aging_tbl[[#This Row],[PO_Date]]+AP_aging_tbl[[#This Row],[Terms]]+AP_aging_tbl[[#This Row],[Delay]]</f>
        <v>45671</v>
      </c>
      <c r="J10" s="127"/>
    </row>
    <row r="11" spans="2:10" x14ac:dyDescent="0.2">
      <c r="B11" s="5">
        <v>18</v>
      </c>
      <c r="C11" s="4" t="s">
        <v>301</v>
      </c>
      <c r="D11" s="5">
        <v>2047</v>
      </c>
      <c r="E11" s="133">
        <v>45646</v>
      </c>
      <c r="F11" s="48">
        <v>683384</v>
      </c>
      <c r="G11" s="5">
        <v>14</v>
      </c>
      <c r="H11" s="7">
        <v>0</v>
      </c>
      <c r="I11" s="131">
        <f>AP_aging_tbl[[#This Row],[PO_Date]]+AP_aging_tbl[[#This Row],[Terms]]+AP_aging_tbl[[#This Row],[Delay]]</f>
        <v>45660</v>
      </c>
      <c r="J11" s="127"/>
    </row>
    <row r="12" spans="2:10" ht="15" x14ac:dyDescent="0.25">
      <c r="B12" s="5" t="s">
        <v>10</v>
      </c>
      <c r="F12" s="92">
        <f>SUBTOTAL(109,AP_aging_tbl[AP_Aging])</f>
        <v>2871110</v>
      </c>
      <c r="G12" s="22"/>
      <c r="H12" s="22"/>
      <c r="I12"/>
    </row>
    <row r="14" spans="2:10" x14ac:dyDescent="0.2">
      <c r="F14" s="126"/>
    </row>
    <row r="16" spans="2:10" x14ac:dyDescent="0.2">
      <c r="D16" s="4"/>
      <c r="E16" s="4"/>
    </row>
    <row r="17" spans="4:5" x14ac:dyDescent="0.2">
      <c r="D17" s="4"/>
      <c r="E17" s="4"/>
    </row>
    <row r="18" spans="4:5" x14ac:dyDescent="0.2">
      <c r="D18" s="4"/>
      <c r="E18" s="4"/>
    </row>
    <row r="19" spans="4:5" x14ac:dyDescent="0.2">
      <c r="D19" s="4"/>
      <c r="E19" s="4"/>
    </row>
    <row r="20" spans="4:5" x14ac:dyDescent="0.2">
      <c r="D20" s="4"/>
      <c r="E20" s="4"/>
    </row>
    <row r="21" spans="4:5" x14ac:dyDescent="0.2">
      <c r="D21" s="4"/>
      <c r="E21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81F0D-79FB-4C51-AA19-B74507EB5872}">
  <sheetPr codeName="Sheet10">
    <tabColor theme="4" tint="0.39997558519241921"/>
  </sheetPr>
  <dimension ref="A1:AN40"/>
  <sheetViews>
    <sheetView showGridLines="0" zoomScale="75" zoomScaleNormal="75" workbookViewId="0">
      <pane xSplit="2" topLeftCell="C1" activePane="topRight" state="frozen"/>
      <selection pane="topRight" activeCell="G8" sqref="G8"/>
    </sheetView>
  </sheetViews>
  <sheetFormatPr defaultColWidth="9.140625" defaultRowHeight="16.5" customHeight="1" x14ac:dyDescent="0.25"/>
  <cols>
    <col min="1" max="1" width="3" style="57" bestFit="1" customWidth="1"/>
    <col min="2" max="2" width="34.42578125" style="57" customWidth="1"/>
    <col min="3" max="3" width="1.28515625" style="57" customWidth="1"/>
    <col min="4" max="4" width="3" style="57" customWidth="1"/>
    <col min="5" max="5" width="4.140625" style="57" customWidth="1"/>
    <col min="6" max="6" width="6.5703125" style="57" customWidth="1"/>
    <col min="7" max="7" width="5.28515625" style="57" customWidth="1"/>
    <col min="8" max="8" width="6.85546875" style="57" customWidth="1"/>
    <col min="9" max="10" width="11.5703125" style="58" bestFit="1" customWidth="1"/>
    <col min="11" max="11" width="12" style="58" bestFit="1" customWidth="1"/>
    <col min="12" max="12" width="1.28515625" style="65" customWidth="1"/>
    <col min="13" max="13" width="12" style="57" bestFit="1" customWidth="1"/>
    <col min="14" max="14" width="1.28515625" style="65" customWidth="1"/>
    <col min="15" max="27" width="10.5703125" style="57" bestFit="1" customWidth="1"/>
    <col min="28" max="28" width="3" style="174" bestFit="1" customWidth="1"/>
    <col min="29" max="29" width="63.7109375" style="57" bestFit="1" customWidth="1"/>
    <col min="30" max="34" width="9.140625" style="57"/>
    <col min="35" max="35" width="9.140625" style="57" customWidth="1"/>
    <col min="36" max="36" width="7" style="57" bestFit="1" customWidth="1"/>
    <col min="37" max="37" width="7.140625" style="57" bestFit="1" customWidth="1"/>
    <col min="38" max="38" width="9.140625" style="57"/>
    <col min="39" max="39" width="7" style="57" bestFit="1" customWidth="1"/>
    <col min="40" max="40" width="6.42578125" style="57" bestFit="1" customWidth="1"/>
    <col min="41" max="16384" width="9.140625" style="57"/>
  </cols>
  <sheetData>
    <row r="1" spans="1:40" s="4" customFormat="1" ht="21" customHeight="1" x14ac:dyDescent="0.3">
      <c r="B1" s="17" t="str" cm="1">
        <f t="array" ref="B1">Company_Name</f>
        <v>Pinnacle Supplier DBA Candy Confection</v>
      </c>
      <c r="I1" s="56"/>
      <c r="J1" s="56"/>
      <c r="K1" s="56"/>
      <c r="L1" s="5"/>
      <c r="N1" s="5"/>
      <c r="AB1" s="173"/>
    </row>
    <row r="2" spans="1:40" s="4" customFormat="1" ht="16.5" customHeight="1" x14ac:dyDescent="0.2">
      <c r="B2" s="1" t="s">
        <v>343</v>
      </c>
      <c r="I2" s="56"/>
      <c r="J2" s="56"/>
      <c r="K2" s="56"/>
      <c r="L2" s="5"/>
      <c r="N2" s="5"/>
      <c r="AB2" s="173"/>
    </row>
    <row r="3" spans="1:40" ht="16.5" customHeight="1" x14ac:dyDescent="0.2">
      <c r="B3" s="4" t="s">
        <v>243</v>
      </c>
    </row>
    <row r="4" spans="1:40" ht="16.5" customHeight="1" x14ac:dyDescent="0.25">
      <c r="B4" s="70"/>
      <c r="E4" s="70"/>
      <c r="F4" s="70"/>
      <c r="G4" s="70"/>
      <c r="I4" s="172"/>
      <c r="J4" s="172"/>
      <c r="K4" s="172"/>
      <c r="M4" s="70"/>
      <c r="O4" s="68">
        <v>45688</v>
      </c>
      <c r="P4" s="68">
        <v>45716</v>
      </c>
      <c r="Q4" s="68">
        <v>45747</v>
      </c>
      <c r="R4" s="68">
        <v>45777</v>
      </c>
      <c r="S4" s="68">
        <v>45808</v>
      </c>
      <c r="T4" s="68">
        <v>45838</v>
      </c>
      <c r="U4" s="68">
        <v>45869</v>
      </c>
      <c r="V4" s="68">
        <v>45900</v>
      </c>
      <c r="W4" s="68">
        <v>45930</v>
      </c>
      <c r="X4" s="68">
        <v>45961</v>
      </c>
      <c r="Y4" s="68">
        <v>45991</v>
      </c>
      <c r="Z4" s="68">
        <v>46022</v>
      </c>
      <c r="AA4" s="68">
        <v>46053</v>
      </c>
      <c r="AC4" s="117" t="s">
        <v>245</v>
      </c>
      <c r="AJ4" s="339" t="s">
        <v>5</v>
      </c>
      <c r="AK4" s="339"/>
      <c r="AM4" s="339" t="s">
        <v>427</v>
      </c>
      <c r="AN4" s="339"/>
    </row>
    <row r="5" spans="1:40" ht="16.5" customHeight="1" x14ac:dyDescent="0.25">
      <c r="A5" s="60">
        <v>1</v>
      </c>
      <c r="B5" s="116" t="s">
        <v>2</v>
      </c>
      <c r="C5" s="60"/>
      <c r="D5" s="60"/>
      <c r="E5" s="117" t="str">
        <f>I5</f>
        <v>Low</v>
      </c>
      <c r="F5" s="117" t="str">
        <f>J5</f>
        <v>Mid</v>
      </c>
      <c r="G5" s="117" t="str">
        <f>K5</f>
        <v>High</v>
      </c>
      <c r="H5" s="60"/>
      <c r="I5" s="117" t="s">
        <v>20</v>
      </c>
      <c r="J5" s="117" t="s">
        <v>21</v>
      </c>
      <c r="K5" s="117" t="s">
        <v>22</v>
      </c>
      <c r="M5" s="117" t="s">
        <v>145</v>
      </c>
      <c r="O5" s="94">
        <v>1</v>
      </c>
      <c r="P5" s="94">
        <v>1</v>
      </c>
      <c r="Q5" s="94">
        <v>1</v>
      </c>
      <c r="R5" s="94">
        <v>1</v>
      </c>
      <c r="S5" s="94">
        <v>1</v>
      </c>
      <c r="T5" s="94">
        <v>1</v>
      </c>
      <c r="U5" s="94">
        <v>1</v>
      </c>
      <c r="V5" s="94">
        <v>1</v>
      </c>
      <c r="W5" s="94">
        <v>1</v>
      </c>
      <c r="X5" s="94">
        <v>1</v>
      </c>
      <c r="Y5" s="94">
        <v>1</v>
      </c>
      <c r="Z5" s="94">
        <v>1</v>
      </c>
      <c r="AA5" s="94">
        <v>1</v>
      </c>
      <c r="AB5" s="175" t="s">
        <v>313</v>
      </c>
      <c r="AC5" s="77" t="s">
        <v>312</v>
      </c>
      <c r="AJ5" s="323" t="s">
        <v>428</v>
      </c>
      <c r="AK5" s="320">
        <f>Gross_Profit</f>
        <v>8607.0410600842188</v>
      </c>
      <c r="AM5" s="323" t="s">
        <v>428</v>
      </c>
      <c r="AN5" s="320">
        <f ca="1">Net_Cash_Flow</f>
        <v>322.40816798659694</v>
      </c>
    </row>
    <row r="6" spans="1:40" ht="16.5" customHeight="1" x14ac:dyDescent="0.25">
      <c r="AJ6" s="321">
        <v>0.42</v>
      </c>
      <c r="AK6" s="322">
        <f t="dataTable" ref="AK6:AK10" dt2D="0" dtr="0" r1="M7" ca="1"/>
        <v>9802.463429540363</v>
      </c>
      <c r="AM6" s="321">
        <v>0.42</v>
      </c>
      <c r="AN6" s="322">
        <f t="dataTable" ref="AN6:AN10" dt2D="0" dtr="0" r1="M7" ca="1"/>
        <v>1006.7785993445377</v>
      </c>
    </row>
    <row r="7" spans="1:40" ht="16.350000000000001" customHeight="1" x14ac:dyDescent="0.2">
      <c r="B7" s="57" t="s">
        <v>244</v>
      </c>
      <c r="E7" s="64"/>
      <c r="F7" s="64"/>
      <c r="G7" s="78">
        <v>3</v>
      </c>
      <c r="I7" s="82">
        <v>0.32</v>
      </c>
      <c r="J7" s="82">
        <v>0.38</v>
      </c>
      <c r="K7" s="82">
        <v>0.47</v>
      </c>
      <c r="M7" s="79">
        <f>CHOOSE($G7,I7,J7,K7)</f>
        <v>0.47</v>
      </c>
      <c r="O7" s="170">
        <f t="shared" ref="O7:AA9" si="0">$M7*O$5</f>
        <v>0.47</v>
      </c>
      <c r="P7" s="170">
        <f t="shared" si="0"/>
        <v>0.47</v>
      </c>
      <c r="Q7" s="170">
        <f t="shared" si="0"/>
        <v>0.47</v>
      </c>
      <c r="R7" s="170">
        <f t="shared" si="0"/>
        <v>0.47</v>
      </c>
      <c r="S7" s="170">
        <f t="shared" si="0"/>
        <v>0.47</v>
      </c>
      <c r="T7" s="170">
        <f t="shared" si="0"/>
        <v>0.47</v>
      </c>
      <c r="U7" s="170">
        <f t="shared" si="0"/>
        <v>0.47</v>
      </c>
      <c r="V7" s="170">
        <f t="shared" si="0"/>
        <v>0.47</v>
      </c>
      <c r="W7" s="170">
        <f t="shared" si="0"/>
        <v>0.47</v>
      </c>
      <c r="X7" s="170">
        <f t="shared" si="0"/>
        <v>0.47</v>
      </c>
      <c r="Y7" s="170">
        <f t="shared" si="0"/>
        <v>0.47</v>
      </c>
      <c r="Z7" s="170">
        <f t="shared" si="0"/>
        <v>0.47</v>
      </c>
      <c r="AA7" s="170">
        <f t="shared" si="0"/>
        <v>0.47</v>
      </c>
      <c r="AB7" s="176"/>
      <c r="AC7" s="76" t="s">
        <v>246</v>
      </c>
      <c r="AJ7" s="321">
        <v>0.44</v>
      </c>
      <c r="AK7" s="322">
        <v>9324.2944817579064</v>
      </c>
      <c r="AM7" s="321">
        <v>0.44</v>
      </c>
      <c r="AN7" s="322">
        <v>740.28488753327201</v>
      </c>
    </row>
    <row r="8" spans="1:40" ht="16.5" customHeight="1" x14ac:dyDescent="0.25">
      <c r="B8" s="57" t="s">
        <v>252</v>
      </c>
      <c r="E8" s="64"/>
      <c r="F8" s="64"/>
      <c r="G8" s="78">
        <v>3</v>
      </c>
      <c r="I8" s="82">
        <v>0.14000000000000001</v>
      </c>
      <c r="J8" s="82">
        <v>0.15</v>
      </c>
      <c r="K8" s="82">
        <v>0.17</v>
      </c>
      <c r="M8" s="79">
        <f>CHOOSE($G8,I8,J8,K8)</f>
        <v>0.17</v>
      </c>
      <c r="O8" s="170">
        <f t="shared" si="0"/>
        <v>0.17</v>
      </c>
      <c r="P8" s="170">
        <f t="shared" si="0"/>
        <v>0.17</v>
      </c>
      <c r="Q8" s="170">
        <f t="shared" si="0"/>
        <v>0.17</v>
      </c>
      <c r="R8" s="170">
        <f t="shared" si="0"/>
        <v>0.17</v>
      </c>
      <c r="S8" s="170">
        <f t="shared" si="0"/>
        <v>0.17</v>
      </c>
      <c r="T8" s="170">
        <f t="shared" si="0"/>
        <v>0.17</v>
      </c>
      <c r="U8" s="170">
        <f t="shared" si="0"/>
        <v>0.17</v>
      </c>
      <c r="V8" s="170">
        <f t="shared" si="0"/>
        <v>0.17</v>
      </c>
      <c r="W8" s="170">
        <f t="shared" si="0"/>
        <v>0.17</v>
      </c>
      <c r="X8" s="170">
        <f t="shared" si="0"/>
        <v>0.17</v>
      </c>
      <c r="Y8" s="170">
        <f t="shared" si="0"/>
        <v>0.17</v>
      </c>
      <c r="Z8" s="170">
        <f t="shared" si="0"/>
        <v>0.17</v>
      </c>
      <c r="AA8" s="170">
        <f t="shared" si="0"/>
        <v>0.17</v>
      </c>
      <c r="AB8" s="176"/>
      <c r="AC8" s="77" t="s">
        <v>377</v>
      </c>
      <c r="AJ8" s="321">
        <v>0.46</v>
      </c>
      <c r="AK8" s="322">
        <v>8846.125533975448</v>
      </c>
      <c r="AM8" s="321">
        <v>0.46</v>
      </c>
      <c r="AN8" s="322">
        <v>463.43103989796509</v>
      </c>
    </row>
    <row r="9" spans="1:40" ht="16.5" customHeight="1" x14ac:dyDescent="0.25">
      <c r="B9" s="57" t="s">
        <v>253</v>
      </c>
      <c r="E9" s="63"/>
      <c r="F9" s="63"/>
      <c r="G9" s="67">
        <v>3</v>
      </c>
      <c r="I9" s="82">
        <v>7.0000000000000007E-2</v>
      </c>
      <c r="J9" s="82">
        <v>0.08</v>
      </c>
      <c r="K9" s="82">
        <v>0.1</v>
      </c>
      <c r="M9" s="79">
        <f>CHOOSE($G9,I9,J9,K9)</f>
        <v>0.1</v>
      </c>
      <c r="O9" s="170">
        <f t="shared" si="0"/>
        <v>0.1</v>
      </c>
      <c r="P9" s="170">
        <f t="shared" si="0"/>
        <v>0.1</v>
      </c>
      <c r="Q9" s="170">
        <f t="shared" si="0"/>
        <v>0.1</v>
      </c>
      <c r="R9" s="170">
        <f t="shared" si="0"/>
        <v>0.1</v>
      </c>
      <c r="S9" s="170">
        <f t="shared" si="0"/>
        <v>0.1</v>
      </c>
      <c r="T9" s="170">
        <f t="shared" si="0"/>
        <v>0.1</v>
      </c>
      <c r="U9" s="170">
        <f t="shared" si="0"/>
        <v>0.1</v>
      </c>
      <c r="V9" s="170">
        <f t="shared" si="0"/>
        <v>0.1</v>
      </c>
      <c r="W9" s="170">
        <f t="shared" si="0"/>
        <v>0.1</v>
      </c>
      <c r="X9" s="170">
        <f t="shared" si="0"/>
        <v>0.1</v>
      </c>
      <c r="Y9" s="170">
        <f t="shared" si="0"/>
        <v>0.1</v>
      </c>
      <c r="Z9" s="170">
        <f t="shared" si="0"/>
        <v>0.1</v>
      </c>
      <c r="AA9" s="170">
        <f t="shared" si="0"/>
        <v>0.1</v>
      </c>
      <c r="AB9" s="176"/>
      <c r="AC9" s="77" t="s">
        <v>254</v>
      </c>
      <c r="AJ9" s="321">
        <v>0.48</v>
      </c>
      <c r="AK9" s="322">
        <v>8367.9565861929932</v>
      </c>
      <c r="AM9" s="321">
        <v>0.48</v>
      </c>
      <c r="AN9" s="322">
        <v>181.38529607522673</v>
      </c>
    </row>
    <row r="10" spans="1:40" ht="16.5" customHeight="1" x14ac:dyDescent="0.25">
      <c r="M10" s="80"/>
      <c r="O10" s="164"/>
      <c r="P10" s="164"/>
      <c r="Q10" s="164"/>
      <c r="R10" s="164"/>
      <c r="S10" s="164"/>
      <c r="T10" s="164"/>
      <c r="U10" s="164"/>
      <c r="V10" s="164"/>
      <c r="W10" s="164"/>
      <c r="X10" s="164"/>
      <c r="Y10" s="164"/>
      <c r="Z10" s="164"/>
      <c r="AA10" s="164"/>
      <c r="AB10" s="177"/>
      <c r="AJ10" s="321">
        <v>0.5</v>
      </c>
      <c r="AK10" s="322">
        <v>7889.7876384105357</v>
      </c>
      <c r="AM10" s="321">
        <v>0.5</v>
      </c>
      <c r="AN10" s="322">
        <v>-100.66044774751322</v>
      </c>
    </row>
    <row r="11" spans="1:40" ht="16.5" customHeight="1" thickBot="1" x14ac:dyDescent="0.3">
      <c r="B11" s="71" t="s">
        <v>4</v>
      </c>
      <c r="C11" s="72"/>
      <c r="D11" s="71"/>
      <c r="E11" s="71"/>
      <c r="F11" s="71"/>
      <c r="G11" s="71"/>
      <c r="H11" s="71"/>
      <c r="I11" s="81">
        <f>SUM(I7:I10)</f>
        <v>0.53</v>
      </c>
      <c r="J11" s="81">
        <f>SUM(J7:J10)</f>
        <v>0.61</v>
      </c>
      <c r="K11" s="81">
        <f>SUM(K7:K10)</f>
        <v>0.74</v>
      </c>
      <c r="M11" s="81">
        <f>SUM(M7:M10)</f>
        <v>0.74</v>
      </c>
      <c r="O11" s="81">
        <f t="shared" ref="O11:AA11" si="1">SUM(O7:O10)</f>
        <v>0.74</v>
      </c>
      <c r="P11" s="81">
        <f t="shared" si="1"/>
        <v>0.74</v>
      </c>
      <c r="Q11" s="81">
        <f t="shared" si="1"/>
        <v>0.74</v>
      </c>
      <c r="R11" s="81">
        <f t="shared" si="1"/>
        <v>0.74</v>
      </c>
      <c r="S11" s="81">
        <f t="shared" si="1"/>
        <v>0.74</v>
      </c>
      <c r="T11" s="81">
        <f t="shared" si="1"/>
        <v>0.74</v>
      </c>
      <c r="U11" s="81">
        <f t="shared" si="1"/>
        <v>0.74</v>
      </c>
      <c r="V11" s="81">
        <f t="shared" si="1"/>
        <v>0.74</v>
      </c>
      <c r="W11" s="81">
        <f t="shared" si="1"/>
        <v>0.74</v>
      </c>
      <c r="X11" s="81">
        <f t="shared" si="1"/>
        <v>0.74</v>
      </c>
      <c r="Y11" s="81">
        <f t="shared" si="1"/>
        <v>0.74</v>
      </c>
      <c r="Z11" s="81">
        <f t="shared" si="1"/>
        <v>0.74</v>
      </c>
      <c r="AA11" s="81">
        <f t="shared" si="1"/>
        <v>0.74</v>
      </c>
      <c r="AB11" s="177"/>
      <c r="AC11" s="62"/>
    </row>
    <row r="12" spans="1:40" ht="16.5" customHeight="1" x14ac:dyDescent="0.25">
      <c r="B12" s="159"/>
      <c r="D12" s="60"/>
      <c r="E12" s="60"/>
      <c r="F12" s="60"/>
      <c r="G12" s="60"/>
      <c r="H12" s="60"/>
      <c r="I12" s="160"/>
      <c r="J12" s="160"/>
      <c r="K12" s="160"/>
      <c r="M12" s="160"/>
      <c r="AC12" s="62"/>
    </row>
    <row r="13" spans="1:40" ht="16.5" customHeight="1" x14ac:dyDescent="0.25">
      <c r="B13" s="70"/>
      <c r="E13" s="70"/>
      <c r="F13" s="70"/>
      <c r="G13" s="70"/>
      <c r="I13" s="172"/>
      <c r="J13" s="172"/>
      <c r="K13" s="172"/>
      <c r="M13" s="70"/>
      <c r="AC13" s="117" t="s">
        <v>245</v>
      </c>
    </row>
    <row r="14" spans="1:40" s="60" customFormat="1" ht="16.5" customHeight="1" x14ac:dyDescent="0.25">
      <c r="A14" s="60">
        <v>2</v>
      </c>
      <c r="B14" s="116" t="s">
        <v>67</v>
      </c>
      <c r="E14" s="117" t="str">
        <f>I14</f>
        <v>Low</v>
      </c>
      <c r="F14" s="117" t="str">
        <f>J14</f>
        <v>Mid</v>
      </c>
      <c r="G14" s="117" t="str">
        <f>K14</f>
        <v>High</v>
      </c>
      <c r="I14" s="117" t="s">
        <v>20</v>
      </c>
      <c r="J14" s="117" t="s">
        <v>21</v>
      </c>
      <c r="K14" s="117" t="s">
        <v>22</v>
      </c>
      <c r="L14" s="65"/>
      <c r="M14" s="117" t="s">
        <v>145</v>
      </c>
      <c r="N14" s="65"/>
      <c r="O14" s="94">
        <v>1</v>
      </c>
      <c r="P14" s="94">
        <v>1</v>
      </c>
      <c r="Q14" s="94">
        <v>1</v>
      </c>
      <c r="R14" s="94">
        <v>1</v>
      </c>
      <c r="S14" s="94">
        <v>1</v>
      </c>
      <c r="T14" s="94">
        <v>1</v>
      </c>
      <c r="U14" s="94">
        <v>1</v>
      </c>
      <c r="V14" s="94">
        <v>1</v>
      </c>
      <c r="W14" s="94">
        <v>1</v>
      </c>
      <c r="X14" s="94">
        <v>1</v>
      </c>
      <c r="Y14" s="94">
        <v>1</v>
      </c>
      <c r="Z14" s="94">
        <v>1</v>
      </c>
      <c r="AA14" s="94">
        <v>1</v>
      </c>
      <c r="AB14" s="175" t="s">
        <v>313</v>
      </c>
      <c r="AC14" s="77" t="s">
        <v>310</v>
      </c>
    </row>
    <row r="15" spans="1:40" ht="16.5" customHeight="1" x14ac:dyDescent="0.25">
      <c r="J15" s="61"/>
    </row>
    <row r="16" spans="1:40" ht="16.5" customHeight="1" x14ac:dyDescent="0.25">
      <c r="B16" s="57" t="s">
        <v>146</v>
      </c>
      <c r="E16" s="63"/>
      <c r="F16" s="63"/>
      <c r="G16" s="67">
        <v>3</v>
      </c>
      <c r="I16" s="161">
        <v>15000</v>
      </c>
      <c r="J16" s="161">
        <v>20000</v>
      </c>
      <c r="K16" s="161">
        <v>25000</v>
      </c>
      <c r="L16" s="162"/>
      <c r="M16" s="66">
        <f>CHOOSE($G16,I16,J16,K16)</f>
        <v>25000</v>
      </c>
      <c r="N16" s="162"/>
      <c r="O16" s="164">
        <f t="shared" ref="O16:AA16" si="2">O$14*$M16</f>
        <v>25000</v>
      </c>
      <c r="P16" s="164">
        <f t="shared" si="2"/>
        <v>25000</v>
      </c>
      <c r="Q16" s="164">
        <f t="shared" si="2"/>
        <v>25000</v>
      </c>
      <c r="R16" s="164">
        <f t="shared" si="2"/>
        <v>25000</v>
      </c>
      <c r="S16" s="164">
        <f t="shared" si="2"/>
        <v>25000</v>
      </c>
      <c r="T16" s="164">
        <f t="shared" si="2"/>
        <v>25000</v>
      </c>
      <c r="U16" s="164">
        <f t="shared" si="2"/>
        <v>25000</v>
      </c>
      <c r="V16" s="164">
        <f t="shared" si="2"/>
        <v>25000</v>
      </c>
      <c r="W16" s="164">
        <f t="shared" si="2"/>
        <v>25000</v>
      </c>
      <c r="X16" s="164">
        <f t="shared" si="2"/>
        <v>25000</v>
      </c>
      <c r="Y16" s="164">
        <f t="shared" si="2"/>
        <v>25000</v>
      </c>
      <c r="Z16" s="164">
        <f t="shared" si="2"/>
        <v>25000</v>
      </c>
      <c r="AA16" s="164">
        <f t="shared" si="2"/>
        <v>25000</v>
      </c>
      <c r="AB16" s="177"/>
      <c r="AC16" s="77" t="s">
        <v>251</v>
      </c>
    </row>
    <row r="17" spans="1:30" ht="16.5" customHeight="1" x14ac:dyDescent="0.25">
      <c r="I17" s="164"/>
      <c r="J17" s="167"/>
      <c r="K17" s="164"/>
      <c r="L17" s="162"/>
      <c r="N17" s="162"/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/>
      <c r="AB17" s="177"/>
      <c r="AC17" s="62"/>
    </row>
    <row r="18" spans="1:30" ht="16.5" customHeight="1" thickBot="1" x14ac:dyDescent="0.3">
      <c r="B18" s="71" t="s">
        <v>147</v>
      </c>
      <c r="C18" s="72"/>
      <c r="D18" s="71"/>
      <c r="E18" s="71"/>
      <c r="F18" s="71"/>
      <c r="G18" s="71"/>
      <c r="H18" s="71"/>
      <c r="I18" s="165">
        <f>SUM(I16:I17)</f>
        <v>15000</v>
      </c>
      <c r="J18" s="165">
        <f>SUM(J16:J17)</f>
        <v>20000</v>
      </c>
      <c r="K18" s="165">
        <f>SUM(K16:K17)</f>
        <v>25000</v>
      </c>
      <c r="L18" s="162"/>
      <c r="M18" s="73">
        <f>SUM(M16:M17)</f>
        <v>25000</v>
      </c>
      <c r="N18" s="162"/>
      <c r="O18" s="165">
        <f t="shared" ref="O18:Z18" si="3">SUM(O16:O17)</f>
        <v>25000</v>
      </c>
      <c r="P18" s="165">
        <f t="shared" si="3"/>
        <v>25000</v>
      </c>
      <c r="Q18" s="165">
        <f t="shared" si="3"/>
        <v>25000</v>
      </c>
      <c r="R18" s="165">
        <f t="shared" si="3"/>
        <v>25000</v>
      </c>
      <c r="S18" s="165">
        <f t="shared" si="3"/>
        <v>25000</v>
      </c>
      <c r="T18" s="165">
        <f t="shared" si="3"/>
        <v>25000</v>
      </c>
      <c r="U18" s="165">
        <f t="shared" si="3"/>
        <v>25000</v>
      </c>
      <c r="V18" s="165">
        <f t="shared" si="3"/>
        <v>25000</v>
      </c>
      <c r="W18" s="165">
        <f t="shared" si="3"/>
        <v>25000</v>
      </c>
      <c r="X18" s="165">
        <f t="shared" si="3"/>
        <v>25000</v>
      </c>
      <c r="Y18" s="165">
        <f t="shared" si="3"/>
        <v>25000</v>
      </c>
      <c r="Z18" s="165">
        <f t="shared" si="3"/>
        <v>25000</v>
      </c>
      <c r="AA18" s="165">
        <f t="shared" ref="AA18" si="4">SUM(AA16:AA17)</f>
        <v>25000</v>
      </c>
      <c r="AB18" s="177"/>
      <c r="AC18" s="179" t="s">
        <v>324</v>
      </c>
    </row>
    <row r="19" spans="1:30" ht="16.5" customHeight="1" x14ac:dyDescent="0.25">
      <c r="B19" s="159" t="s">
        <v>308</v>
      </c>
      <c r="D19" s="60"/>
      <c r="E19" s="60"/>
      <c r="F19" s="60"/>
      <c r="G19" s="60"/>
      <c r="H19" s="60"/>
      <c r="I19" s="69"/>
      <c r="J19" s="69"/>
      <c r="K19" s="69"/>
      <c r="M19" s="169">
        <f>(M18*COUNT(O18:AB18)-SUM(O18:AB18))</f>
        <v>0</v>
      </c>
      <c r="AC19" s="62"/>
    </row>
    <row r="20" spans="1:30" ht="16.5" customHeight="1" x14ac:dyDescent="0.25">
      <c r="B20" s="70"/>
      <c r="E20" s="70"/>
      <c r="F20" s="70"/>
      <c r="G20" s="70"/>
      <c r="I20" s="70"/>
      <c r="J20" s="171"/>
      <c r="K20" s="70"/>
      <c r="M20" s="70"/>
      <c r="AC20" s="117" t="s">
        <v>245</v>
      </c>
    </row>
    <row r="21" spans="1:30" s="60" customFormat="1" ht="16.5" customHeight="1" x14ac:dyDescent="0.25">
      <c r="A21" s="60">
        <v>3</v>
      </c>
      <c r="B21" s="116" t="s">
        <v>115</v>
      </c>
      <c r="E21" s="117" t="str">
        <f>I21</f>
        <v>Low</v>
      </c>
      <c r="F21" s="117" t="str">
        <f>J21</f>
        <v>Mid</v>
      </c>
      <c r="G21" s="117" t="str">
        <f>K21</f>
        <v>High</v>
      </c>
      <c r="I21" s="117" t="s">
        <v>20</v>
      </c>
      <c r="J21" s="117" t="s">
        <v>21</v>
      </c>
      <c r="K21" s="117" t="s">
        <v>22</v>
      </c>
      <c r="L21" s="65"/>
      <c r="M21" s="117" t="s">
        <v>145</v>
      </c>
      <c r="N21" s="65"/>
      <c r="O21" s="219">
        <f>MAX(Sales_Forecast!E81/(1/12),Utilities_Minimum_Spend)</f>
        <v>2.0273573956817992</v>
      </c>
      <c r="P21" s="219">
        <f>MAX(Sales_Forecast!F81/(1/12),Utilities_Minimum_Spend)</f>
        <v>2.8288870779906388</v>
      </c>
      <c r="Q21" s="219">
        <f>MAX(Sales_Forecast!G81/(1/12),Utilities_Minimum_Spend)</f>
        <v>0.75</v>
      </c>
      <c r="R21" s="219">
        <f>MAX(Sales_Forecast!H81/(1/12),Utilities_Minimum_Spend)</f>
        <v>1.0876953952204349</v>
      </c>
      <c r="S21" s="219">
        <f>MAX(Sales_Forecast!I81/(1/12),Utilities_Minimum_Spend)</f>
        <v>0.75</v>
      </c>
      <c r="T21" s="219">
        <f>MAX(Sales_Forecast!J81/(1/12),Utilities_Minimum_Spend)</f>
        <v>0.75</v>
      </c>
      <c r="U21" s="219">
        <f>MAX(Sales_Forecast!K81/(1/12),Utilities_Minimum_Spend)</f>
        <v>0.75</v>
      </c>
      <c r="V21" s="219">
        <f>MAX(Sales_Forecast!L81/(1/12),Utilities_Minimum_Spend)</f>
        <v>0.75</v>
      </c>
      <c r="W21" s="219">
        <f>MAX(Sales_Forecast!M81/(1/12),Utilities_Minimum_Spend)</f>
        <v>0.75</v>
      </c>
      <c r="X21" s="219">
        <f>MAX(Sales_Forecast!N81/(1/12),Utilities_Minimum_Spend)</f>
        <v>0.75</v>
      </c>
      <c r="Y21" s="219">
        <f>MAX(Sales_Forecast!O81/(1/12),Utilities_Minimum_Spend)</f>
        <v>0.9941382616637654</v>
      </c>
      <c r="Z21" s="219">
        <f>MAX(Sales_Forecast!P81/(1/12),Utilities_Minimum_Spend)</f>
        <v>1.4503712987072164</v>
      </c>
      <c r="AA21" s="219">
        <f>MAX(Sales_Forecast!Q81/(1/12),Utilities_Minimum_Spend)</f>
        <v>2.1822903590247007</v>
      </c>
      <c r="AB21" s="175" t="s">
        <v>313</v>
      </c>
      <c r="AC21" s="77" t="str">
        <f>"Rates based upon sales forecast seasonality, not to drop below "&amp;TEXT(Utilities_Minimum_Spend,"#.#0%")</f>
        <v>Rates based upon sales forecast seasonality, not to drop below 75.0%</v>
      </c>
    </row>
    <row r="22" spans="1:30" ht="16.5" customHeight="1" x14ac:dyDescent="0.25">
      <c r="J22" s="61"/>
    </row>
    <row r="23" spans="1:30" ht="16.5" customHeight="1" x14ac:dyDescent="0.25">
      <c r="B23" s="57" t="s">
        <v>141</v>
      </c>
      <c r="E23" s="64"/>
      <c r="F23" s="64"/>
      <c r="G23" s="67">
        <v>3</v>
      </c>
      <c r="I23" s="161">
        <v>2500</v>
      </c>
      <c r="J23" s="161">
        <v>4000</v>
      </c>
      <c r="K23" s="161">
        <v>6000</v>
      </c>
      <c r="L23" s="164"/>
      <c r="M23" s="66">
        <f>CHOOSE($G23,I23,J23,K23)</f>
        <v>6000</v>
      </c>
      <c r="N23" s="164"/>
      <c r="O23" s="164">
        <f t="shared" ref="O23:AA26" si="5">O$21*$M23</f>
        <v>12164.144374090794</v>
      </c>
      <c r="P23" s="164">
        <f t="shared" si="5"/>
        <v>16973.322467943832</v>
      </c>
      <c r="Q23" s="164">
        <f t="shared" si="5"/>
        <v>4500</v>
      </c>
      <c r="R23" s="164">
        <f t="shared" si="5"/>
        <v>6526.1723713226093</v>
      </c>
      <c r="S23" s="164">
        <f t="shared" si="5"/>
        <v>4500</v>
      </c>
      <c r="T23" s="164">
        <f t="shared" si="5"/>
        <v>4500</v>
      </c>
      <c r="U23" s="164">
        <f t="shared" si="5"/>
        <v>4500</v>
      </c>
      <c r="V23" s="164">
        <f t="shared" si="5"/>
        <v>4500</v>
      </c>
      <c r="W23" s="164">
        <f t="shared" si="5"/>
        <v>4500</v>
      </c>
      <c r="X23" s="164">
        <f t="shared" si="5"/>
        <v>4500</v>
      </c>
      <c r="Y23" s="164">
        <f t="shared" si="5"/>
        <v>5964.8295699825921</v>
      </c>
      <c r="Z23" s="164">
        <f t="shared" si="5"/>
        <v>8702.2277922432986</v>
      </c>
      <c r="AA23" s="164">
        <f t="shared" si="5"/>
        <v>13093.742154148204</v>
      </c>
      <c r="AB23" s="177"/>
      <c r="AC23" s="76" t="s">
        <v>248</v>
      </c>
    </row>
    <row r="24" spans="1:30" ht="16.5" customHeight="1" x14ac:dyDescent="0.25">
      <c r="B24" s="57" t="s">
        <v>142</v>
      </c>
      <c r="E24" s="63"/>
      <c r="F24" s="63"/>
      <c r="G24" s="67">
        <v>3</v>
      </c>
      <c r="I24" s="161">
        <v>3500</v>
      </c>
      <c r="J24" s="161">
        <v>5000</v>
      </c>
      <c r="K24" s="161">
        <v>6500</v>
      </c>
      <c r="L24" s="164"/>
      <c r="M24" s="66">
        <f>CHOOSE($G24,I24,J24,K24)</f>
        <v>6500</v>
      </c>
      <c r="N24" s="164"/>
      <c r="O24" s="164">
        <f t="shared" si="5"/>
        <v>13177.823071931694</v>
      </c>
      <c r="P24" s="164">
        <f t="shared" si="5"/>
        <v>18387.766006939153</v>
      </c>
      <c r="Q24" s="164">
        <f t="shared" si="5"/>
        <v>4875</v>
      </c>
      <c r="R24" s="164">
        <f t="shared" si="5"/>
        <v>7070.0200689328267</v>
      </c>
      <c r="S24" s="164">
        <f t="shared" si="5"/>
        <v>4875</v>
      </c>
      <c r="T24" s="164">
        <f t="shared" si="5"/>
        <v>4875</v>
      </c>
      <c r="U24" s="164">
        <f t="shared" si="5"/>
        <v>4875</v>
      </c>
      <c r="V24" s="164">
        <f t="shared" si="5"/>
        <v>4875</v>
      </c>
      <c r="W24" s="164">
        <f t="shared" si="5"/>
        <v>4875</v>
      </c>
      <c r="X24" s="164">
        <f t="shared" si="5"/>
        <v>4875</v>
      </c>
      <c r="Y24" s="164">
        <f t="shared" si="5"/>
        <v>6461.898700814475</v>
      </c>
      <c r="Z24" s="164">
        <f t="shared" si="5"/>
        <v>9427.4134415969056</v>
      </c>
      <c r="AA24" s="164">
        <f t="shared" si="5"/>
        <v>14184.887333660554</v>
      </c>
      <c r="AB24" s="177"/>
      <c r="AC24" s="76" t="s">
        <v>247</v>
      </c>
    </row>
    <row r="25" spans="1:30" ht="16.5" customHeight="1" x14ac:dyDescent="0.25">
      <c r="B25" s="57" t="s">
        <v>143</v>
      </c>
      <c r="E25" s="63"/>
      <c r="F25" s="63"/>
      <c r="G25" s="67">
        <v>3</v>
      </c>
      <c r="I25" s="161">
        <v>2250</v>
      </c>
      <c r="J25" s="161">
        <v>3000</v>
      </c>
      <c r="K25" s="161">
        <v>3750</v>
      </c>
      <c r="L25" s="164"/>
      <c r="M25" s="66">
        <f>CHOOSE($G25,I25,J25,K25)</f>
        <v>3750</v>
      </c>
      <c r="N25" s="164"/>
      <c r="O25" s="164">
        <f t="shared" si="5"/>
        <v>7602.5902338067472</v>
      </c>
      <c r="P25" s="164">
        <f t="shared" si="5"/>
        <v>10608.326542464896</v>
      </c>
      <c r="Q25" s="164">
        <f t="shared" si="5"/>
        <v>2812.5</v>
      </c>
      <c r="R25" s="164">
        <f t="shared" si="5"/>
        <v>4078.8577320766308</v>
      </c>
      <c r="S25" s="164">
        <f t="shared" si="5"/>
        <v>2812.5</v>
      </c>
      <c r="T25" s="164">
        <f t="shared" si="5"/>
        <v>2812.5</v>
      </c>
      <c r="U25" s="164">
        <f t="shared" si="5"/>
        <v>2812.5</v>
      </c>
      <c r="V25" s="164">
        <f t="shared" si="5"/>
        <v>2812.5</v>
      </c>
      <c r="W25" s="164">
        <f t="shared" si="5"/>
        <v>2812.5</v>
      </c>
      <c r="X25" s="164">
        <f t="shared" si="5"/>
        <v>2812.5</v>
      </c>
      <c r="Y25" s="164">
        <f t="shared" si="5"/>
        <v>3728.0184812391203</v>
      </c>
      <c r="Z25" s="164">
        <f t="shared" si="5"/>
        <v>5438.8923701520616</v>
      </c>
      <c r="AA25" s="164">
        <f t="shared" si="5"/>
        <v>8183.5888463426272</v>
      </c>
      <c r="AB25" s="177"/>
      <c r="AC25" s="76" t="s">
        <v>249</v>
      </c>
    </row>
    <row r="26" spans="1:30" s="60" customFormat="1" ht="16.5" customHeight="1" x14ac:dyDescent="0.25">
      <c r="B26" s="57" t="s">
        <v>144</v>
      </c>
      <c r="C26" s="57"/>
      <c r="D26" s="57"/>
      <c r="E26" s="63"/>
      <c r="F26" s="63"/>
      <c r="G26" s="67">
        <v>3</v>
      </c>
      <c r="H26" s="57"/>
      <c r="I26" s="161">
        <v>1500</v>
      </c>
      <c r="J26" s="161">
        <v>2000</v>
      </c>
      <c r="K26" s="161">
        <v>2500</v>
      </c>
      <c r="L26" s="166"/>
      <c r="M26" s="66">
        <f>CHOOSE($G26,I26,J26,K26)</f>
        <v>2500</v>
      </c>
      <c r="N26" s="166"/>
      <c r="O26" s="164">
        <f t="shared" si="5"/>
        <v>5068.3934892044981</v>
      </c>
      <c r="P26" s="164">
        <f t="shared" si="5"/>
        <v>7072.2176949765972</v>
      </c>
      <c r="Q26" s="164">
        <f t="shared" si="5"/>
        <v>1875</v>
      </c>
      <c r="R26" s="164">
        <f t="shared" si="5"/>
        <v>2719.2384880510872</v>
      </c>
      <c r="S26" s="164">
        <f t="shared" si="5"/>
        <v>1875</v>
      </c>
      <c r="T26" s="164">
        <f t="shared" si="5"/>
        <v>1875</v>
      </c>
      <c r="U26" s="164">
        <f t="shared" si="5"/>
        <v>1875</v>
      </c>
      <c r="V26" s="164">
        <f t="shared" si="5"/>
        <v>1875</v>
      </c>
      <c r="W26" s="164">
        <f t="shared" si="5"/>
        <v>1875</v>
      </c>
      <c r="X26" s="164">
        <f t="shared" si="5"/>
        <v>1875</v>
      </c>
      <c r="Y26" s="164">
        <f t="shared" si="5"/>
        <v>2485.3456541594137</v>
      </c>
      <c r="Z26" s="164">
        <f t="shared" si="5"/>
        <v>3625.9282467680409</v>
      </c>
      <c r="AA26" s="164">
        <f t="shared" si="5"/>
        <v>5455.7258975617515</v>
      </c>
      <c r="AB26" s="178"/>
      <c r="AC26" s="76" t="s">
        <v>250</v>
      </c>
    </row>
    <row r="27" spans="1:30" ht="16.5" customHeight="1" x14ac:dyDescent="0.25">
      <c r="I27" s="163"/>
      <c r="J27" s="167"/>
      <c r="K27" s="163"/>
      <c r="L27" s="162"/>
      <c r="M27" s="58"/>
      <c r="N27" s="162"/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/>
      <c r="AB27" s="60"/>
    </row>
    <row r="28" spans="1:30" ht="16.5" customHeight="1" thickBot="1" x14ac:dyDescent="0.3">
      <c r="B28" s="71" t="s">
        <v>148</v>
      </c>
      <c r="C28" s="72"/>
      <c r="D28" s="72"/>
      <c r="E28" s="72"/>
      <c r="F28" s="72"/>
      <c r="G28" s="72"/>
      <c r="H28" s="72"/>
      <c r="I28" s="165">
        <f>SUM(I23:I27)</f>
        <v>9750</v>
      </c>
      <c r="J28" s="165">
        <f>SUM(J23:J27)</f>
        <v>14000</v>
      </c>
      <c r="K28" s="165">
        <f>SUM(K23:K27)</f>
        <v>18750</v>
      </c>
      <c r="L28" s="162"/>
      <c r="M28" s="73">
        <f>SUM(M23:M27)</f>
        <v>18750</v>
      </c>
      <c r="N28" s="162"/>
      <c r="O28" s="165">
        <f t="shared" ref="O28:Z28" si="6">SUM(O23:O27)</f>
        <v>38012.951169033739</v>
      </c>
      <c r="P28" s="165">
        <f t="shared" si="6"/>
        <v>53041.632712324485</v>
      </c>
      <c r="Q28" s="165">
        <f t="shared" si="6"/>
        <v>14062.5</v>
      </c>
      <c r="R28" s="165">
        <f t="shared" si="6"/>
        <v>20394.288660383154</v>
      </c>
      <c r="S28" s="165">
        <f t="shared" si="6"/>
        <v>14062.5</v>
      </c>
      <c r="T28" s="165">
        <f t="shared" si="6"/>
        <v>14062.5</v>
      </c>
      <c r="U28" s="165">
        <f t="shared" si="6"/>
        <v>14062.5</v>
      </c>
      <c r="V28" s="165">
        <f t="shared" si="6"/>
        <v>14062.5</v>
      </c>
      <c r="W28" s="165">
        <f t="shared" si="6"/>
        <v>14062.5</v>
      </c>
      <c r="X28" s="165">
        <f t="shared" si="6"/>
        <v>14062.5</v>
      </c>
      <c r="Y28" s="165">
        <f t="shared" si="6"/>
        <v>18640.092406195599</v>
      </c>
      <c r="Z28" s="165">
        <f t="shared" si="6"/>
        <v>27194.461850760308</v>
      </c>
      <c r="AA28" s="165">
        <f t="shared" ref="AA28" si="7">SUM(AA23:AA27)</f>
        <v>40917.94423171314</v>
      </c>
      <c r="AB28" s="60"/>
      <c r="AC28" s="179" t="s">
        <v>314</v>
      </c>
    </row>
    <row r="29" spans="1:30" ht="16.5" customHeight="1" x14ac:dyDescent="0.25">
      <c r="B29" s="159"/>
      <c r="I29" s="69"/>
      <c r="J29" s="69"/>
      <c r="K29" s="69"/>
      <c r="M29" s="69"/>
      <c r="AB29" s="60"/>
    </row>
    <row r="30" spans="1:30" ht="16.5" customHeight="1" x14ac:dyDescent="0.25">
      <c r="B30" s="70"/>
      <c r="E30" s="70"/>
      <c r="F30" s="70"/>
      <c r="G30" s="70"/>
      <c r="I30" s="172"/>
      <c r="J30" s="172"/>
      <c r="K30" s="172"/>
      <c r="M30" s="70"/>
      <c r="AC30" s="117" t="s">
        <v>245</v>
      </c>
    </row>
    <row r="31" spans="1:30" s="60" customFormat="1" ht="16.5" customHeight="1" x14ac:dyDescent="0.25">
      <c r="A31" s="60">
        <v>4</v>
      </c>
      <c r="B31" s="116" t="s">
        <v>49</v>
      </c>
      <c r="E31" s="117" t="str">
        <f>I31</f>
        <v>Low</v>
      </c>
      <c r="F31" s="117" t="str">
        <f>J31</f>
        <v>Mid</v>
      </c>
      <c r="G31" s="117" t="str">
        <f>K31</f>
        <v>High</v>
      </c>
      <c r="I31" s="117" t="s">
        <v>20</v>
      </c>
      <c r="J31" s="117" t="s">
        <v>21</v>
      </c>
      <c r="K31" s="117" t="s">
        <v>22</v>
      </c>
      <c r="L31" s="65"/>
      <c r="M31" s="117" t="s">
        <v>145</v>
      </c>
      <c r="N31" s="65"/>
      <c r="O31" s="94">
        <v>0.17115626187743022</v>
      </c>
      <c r="P31" s="219">
        <f>Sales_Forecast!F81</f>
        <v>0.23574058983255322</v>
      </c>
      <c r="Q31" s="219">
        <f>Sales_Forecast!G81</f>
        <v>3.0680143314312906E-2</v>
      </c>
      <c r="R31" s="219">
        <f>Sales_Forecast!H81</f>
        <v>9.0641282935036233E-2</v>
      </c>
      <c r="S31" s="219">
        <f>Sales_Forecast!I81</f>
        <v>5.29879292815775E-2</v>
      </c>
      <c r="T31" s="219">
        <f>Sales_Forecast!J81</f>
        <v>3.1253242912910775E-2</v>
      </c>
      <c r="U31" s="219">
        <f>Sales_Forecast!K81</f>
        <v>3.1553568145078356E-2</v>
      </c>
      <c r="V31" s="219">
        <f>Sales_Forecast!L81</f>
        <v>2.6612782902126538E-2</v>
      </c>
      <c r="W31" s="219">
        <f>Sales_Forecast!M81</f>
        <v>5.3654159555923897E-2</v>
      </c>
      <c r="X31" s="219">
        <f>Sales_Forecast!N81</f>
        <v>6.13096411708405E-2</v>
      </c>
      <c r="Y31" s="219">
        <f>Sales_Forecast!O81</f>
        <v>8.2844855138647117E-2</v>
      </c>
      <c r="Z31" s="219">
        <f>Sales_Forecast!P81</f>
        <v>0.12086427489226802</v>
      </c>
      <c r="AA31" s="219">
        <f>Sales_Forecast!Q81</f>
        <v>0.18185752991872506</v>
      </c>
      <c r="AB31" s="175" t="s">
        <v>313</v>
      </c>
      <c r="AC31" s="77" t="s">
        <v>311</v>
      </c>
      <c r="AD31" s="57"/>
    </row>
    <row r="32" spans="1:30" ht="16.5" customHeight="1" x14ac:dyDescent="0.25">
      <c r="B32" s="60"/>
      <c r="C32" s="60"/>
      <c r="D32" s="60"/>
      <c r="E32" s="60"/>
      <c r="F32" s="60"/>
      <c r="G32" s="60"/>
      <c r="H32" s="60"/>
      <c r="M32" s="60"/>
      <c r="O32" s="174"/>
    </row>
    <row r="33" spans="2:29" ht="16.5" customHeight="1" x14ac:dyDescent="0.25">
      <c r="B33" s="57" t="s">
        <v>256</v>
      </c>
      <c r="E33" s="63"/>
      <c r="F33" s="63"/>
      <c r="G33" s="67">
        <v>3</v>
      </c>
      <c r="I33" s="161">
        <v>85000</v>
      </c>
      <c r="J33" s="161">
        <v>110000</v>
      </c>
      <c r="K33" s="161">
        <v>150000</v>
      </c>
      <c r="L33" s="162"/>
      <c r="M33" s="66">
        <f>CHOOSE($G33,I33,J33,K33)</f>
        <v>150000</v>
      </c>
      <c r="N33" s="162"/>
      <c r="O33" s="177">
        <v>25673.439281614534</v>
      </c>
      <c r="P33" s="164">
        <f t="shared" ref="P33:AA34" si="8">P$31*$M33</f>
        <v>35361.088474882985</v>
      </c>
      <c r="Q33" s="164">
        <f t="shared" si="8"/>
        <v>4602.0214971469359</v>
      </c>
      <c r="R33" s="164">
        <f t="shared" si="8"/>
        <v>13596.192440255434</v>
      </c>
      <c r="S33" s="164">
        <f t="shared" si="8"/>
        <v>7948.1893922366253</v>
      </c>
      <c r="T33" s="164">
        <f t="shared" si="8"/>
        <v>4687.986436936616</v>
      </c>
      <c r="U33" s="164">
        <f t="shared" si="8"/>
        <v>4733.0352217617537</v>
      </c>
      <c r="V33" s="164">
        <f t="shared" si="8"/>
        <v>3991.9174353189806</v>
      </c>
      <c r="W33" s="164">
        <f t="shared" si="8"/>
        <v>8048.1239333885842</v>
      </c>
      <c r="X33" s="164">
        <f t="shared" si="8"/>
        <v>9196.4461756260753</v>
      </c>
      <c r="Y33" s="164">
        <f t="shared" si="8"/>
        <v>12426.728270797068</v>
      </c>
      <c r="Z33" s="164">
        <f t="shared" si="8"/>
        <v>18129.641233840204</v>
      </c>
      <c r="AA33" s="164">
        <f t="shared" si="8"/>
        <v>27278.629487808757</v>
      </c>
      <c r="AC33" s="76" t="s">
        <v>258</v>
      </c>
    </row>
    <row r="34" spans="2:29" ht="16.5" customHeight="1" x14ac:dyDescent="0.25">
      <c r="B34" s="57" t="s">
        <v>257</v>
      </c>
      <c r="E34" s="63"/>
      <c r="F34" s="63"/>
      <c r="G34" s="67">
        <v>3</v>
      </c>
      <c r="I34" s="161">
        <v>60000</v>
      </c>
      <c r="J34" s="161">
        <v>70000</v>
      </c>
      <c r="K34" s="161">
        <v>80000</v>
      </c>
      <c r="L34" s="162"/>
      <c r="M34" s="66">
        <f>CHOOSE($G34,I34,J34,K34)</f>
        <v>80000</v>
      </c>
      <c r="N34" s="162"/>
      <c r="O34" s="177">
        <v>13692.500950194417</v>
      </c>
      <c r="P34" s="164">
        <f t="shared" si="8"/>
        <v>18859.247186604258</v>
      </c>
      <c r="Q34" s="164">
        <f t="shared" si="8"/>
        <v>2454.4114651450323</v>
      </c>
      <c r="R34" s="164">
        <f t="shared" si="8"/>
        <v>7251.3026348028989</v>
      </c>
      <c r="S34" s="164">
        <f t="shared" si="8"/>
        <v>4239.0343425261999</v>
      </c>
      <c r="T34" s="164">
        <f t="shared" si="8"/>
        <v>2500.259433032862</v>
      </c>
      <c r="U34" s="164">
        <f t="shared" si="8"/>
        <v>2524.2854516062685</v>
      </c>
      <c r="V34" s="164">
        <f t="shared" si="8"/>
        <v>2129.022632170123</v>
      </c>
      <c r="W34" s="164">
        <f t="shared" si="8"/>
        <v>4292.332764473912</v>
      </c>
      <c r="X34" s="164">
        <f t="shared" si="8"/>
        <v>4904.7712936672397</v>
      </c>
      <c r="Y34" s="164">
        <f t="shared" si="8"/>
        <v>6627.5884110917696</v>
      </c>
      <c r="Z34" s="164">
        <f t="shared" si="8"/>
        <v>9669.1419913814407</v>
      </c>
      <c r="AA34" s="164">
        <f t="shared" si="8"/>
        <v>14548.602393498004</v>
      </c>
      <c r="AC34" s="76" t="s">
        <v>259</v>
      </c>
    </row>
    <row r="35" spans="2:29" ht="16.5" customHeight="1" x14ac:dyDescent="0.25">
      <c r="I35" s="163"/>
      <c r="J35" s="163"/>
      <c r="K35" s="163"/>
      <c r="L35" s="162"/>
      <c r="N35" s="162"/>
      <c r="O35" s="177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/>
    </row>
    <row r="36" spans="2:29" ht="16.5" customHeight="1" thickBot="1" x14ac:dyDescent="0.3">
      <c r="B36" s="71" t="s">
        <v>255</v>
      </c>
      <c r="C36" s="72"/>
      <c r="D36" s="72"/>
      <c r="E36" s="72"/>
      <c r="F36" s="72"/>
      <c r="G36" s="72"/>
      <c r="H36" s="72"/>
      <c r="I36" s="165">
        <f>SUM(I31:I35)</f>
        <v>145000</v>
      </c>
      <c r="J36" s="165">
        <f>SUM(J31:J35)</f>
        <v>180000</v>
      </c>
      <c r="K36" s="165">
        <f>SUM(K31:K35)</f>
        <v>230000</v>
      </c>
      <c r="L36" s="162"/>
      <c r="M36" s="73">
        <f>SUM(M31:M35)</f>
        <v>230000</v>
      </c>
      <c r="N36" s="162"/>
      <c r="O36" s="335">
        <v>39365.940231808949</v>
      </c>
      <c r="P36" s="165">
        <f t="shared" ref="P36:Z36" si="9">SUM(P33:P35)</f>
        <v>54220.335661487246</v>
      </c>
      <c r="Q36" s="165">
        <f t="shared" si="9"/>
        <v>7056.4329622919686</v>
      </c>
      <c r="R36" s="165">
        <f t="shared" si="9"/>
        <v>20847.495075058334</v>
      </c>
      <c r="S36" s="165">
        <f t="shared" si="9"/>
        <v>12187.223734762825</v>
      </c>
      <c r="T36" s="165">
        <f t="shared" si="9"/>
        <v>7188.245869969478</v>
      </c>
      <c r="U36" s="165">
        <f t="shared" si="9"/>
        <v>7257.3206733680217</v>
      </c>
      <c r="V36" s="165">
        <f t="shared" si="9"/>
        <v>6120.940067489104</v>
      </c>
      <c r="W36" s="165">
        <f t="shared" si="9"/>
        <v>12340.456697862497</v>
      </c>
      <c r="X36" s="165">
        <f t="shared" si="9"/>
        <v>14101.217469293315</v>
      </c>
      <c r="Y36" s="165">
        <f t="shared" si="9"/>
        <v>19054.316681888839</v>
      </c>
      <c r="Z36" s="165">
        <f t="shared" si="9"/>
        <v>27798.783225221647</v>
      </c>
      <c r="AA36" s="165">
        <f t="shared" ref="AA36" si="10">SUM(AA33:AA35)</f>
        <v>41827.231881306761</v>
      </c>
      <c r="AC36" s="179" t="s">
        <v>314</v>
      </c>
    </row>
    <row r="37" spans="2:29" ht="16.350000000000001" customHeight="1" x14ac:dyDescent="0.25">
      <c r="B37" s="159" t="s">
        <v>308</v>
      </c>
      <c r="C37" s="60"/>
      <c r="D37" s="60"/>
      <c r="E37" s="60"/>
      <c r="F37" s="60"/>
      <c r="G37" s="60"/>
      <c r="H37" s="60"/>
      <c r="M37" s="169">
        <f>M36-SUM(O36:Z36)</f>
        <v>2461.2916494977544</v>
      </c>
    </row>
    <row r="38" spans="2:29" ht="16.5" customHeight="1" x14ac:dyDescent="0.25">
      <c r="I38" s="57"/>
      <c r="J38" s="57"/>
      <c r="K38" s="57"/>
      <c r="L38" s="57"/>
      <c r="N38" s="57"/>
    </row>
    <row r="39" spans="2:29" ht="16.5" customHeight="1" x14ac:dyDescent="0.25">
      <c r="I39" s="57"/>
      <c r="J39" s="57"/>
      <c r="K39" s="57"/>
      <c r="L39" s="57"/>
      <c r="N39" s="57"/>
    </row>
    <row r="40" spans="2:29" ht="16.5" customHeight="1" x14ac:dyDescent="0.25">
      <c r="I40" s="57"/>
      <c r="J40" s="57"/>
      <c r="K40" s="57"/>
      <c r="L40" s="57"/>
      <c r="N40" s="57"/>
    </row>
  </sheetData>
  <mergeCells count="2">
    <mergeCell ref="AJ4:AK4"/>
    <mergeCell ref="AM4:AN4"/>
  </mergeCells>
  <conditionalFormatting sqref="I7:K7">
    <cfRule type="cellIs" dxfId="66" priority="54" operator="equal">
      <formula>$M$7</formula>
    </cfRule>
  </conditionalFormatting>
  <conditionalFormatting sqref="I8:K8">
    <cfRule type="cellIs" dxfId="65" priority="55" operator="equal">
      <formula>$M$8</formula>
    </cfRule>
  </conditionalFormatting>
  <conditionalFormatting sqref="I9:K9">
    <cfRule type="cellIs" dxfId="64" priority="56" operator="equal">
      <formula>$M$9</formula>
    </cfRule>
  </conditionalFormatting>
  <conditionalFormatting sqref="I16:K16">
    <cfRule type="cellIs" dxfId="63" priority="57" operator="equal">
      <formula>$M$16</formula>
    </cfRule>
  </conditionalFormatting>
  <conditionalFormatting sqref="I23:K23">
    <cfRule type="cellIs" dxfId="62" priority="58" operator="equal">
      <formula>$M$23</formula>
    </cfRule>
  </conditionalFormatting>
  <conditionalFormatting sqref="I24:K24 I33:K34">
    <cfRule type="cellIs" dxfId="61" priority="59" operator="equal">
      <formula>$M$24</formula>
    </cfRule>
  </conditionalFormatting>
  <conditionalFormatting sqref="I25:K25">
    <cfRule type="cellIs" dxfId="60" priority="61" operator="equal">
      <formula>$M$25</formula>
    </cfRule>
  </conditionalFormatting>
  <conditionalFormatting sqref="I26:K26">
    <cfRule type="cellIs" dxfId="59" priority="62" operator="equal">
      <formula>$M$26</formula>
    </cfRule>
  </conditionalFormatting>
  <pageMargins left="0.7" right="0.7" top="0.75" bottom="0.75" header="0.3" footer="0.3"/>
  <pageSetup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8" r:id="rId4" name="Option Button 2">
              <controlPr defaultSize="0" autoFill="0" autoLine="0" autoPict="0">
                <anchor moveWithCells="1">
                  <from>
                    <xdr:col>4</xdr:col>
                    <xdr:colOff>209550</xdr:colOff>
                    <xdr:row>15</xdr:row>
                    <xdr:rowOff>19050</xdr:rowOff>
                  </from>
                  <to>
                    <xdr:col>5</xdr:col>
                    <xdr:colOff>142875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Option Button 3">
              <controlPr defaultSize="0" autoFill="0" autoLine="0" autoPict="0">
                <anchor moveWithCells="1">
                  <from>
                    <xdr:col>5</xdr:col>
                    <xdr:colOff>209550</xdr:colOff>
                    <xdr:row>15</xdr:row>
                    <xdr:rowOff>19050</xdr:rowOff>
                  </from>
                  <to>
                    <xdr:col>5</xdr:col>
                    <xdr:colOff>419100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Option Button 4">
              <controlPr defaultSize="0" autoFill="0" autoLine="0" autoPict="0">
                <anchor moveWithCells="1">
                  <from>
                    <xdr:col>6</xdr:col>
                    <xdr:colOff>219075</xdr:colOff>
                    <xdr:row>15</xdr:row>
                    <xdr:rowOff>19050</xdr:rowOff>
                  </from>
                  <to>
                    <xdr:col>7</xdr:col>
                    <xdr:colOff>76200</xdr:colOff>
                    <xdr:row>15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7" name="Option Button 5">
              <controlPr defaultSize="0" autoFill="0" autoLine="0" autoPict="0">
                <anchor moveWithCells="1">
                  <from>
                    <xdr:col>4</xdr:col>
                    <xdr:colOff>209550</xdr:colOff>
                    <xdr:row>22</xdr:row>
                    <xdr:rowOff>19050</xdr:rowOff>
                  </from>
                  <to>
                    <xdr:col>5</xdr:col>
                    <xdr:colOff>142875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8" name="Option Button 6">
              <controlPr defaultSize="0" autoFill="0" autoLine="0" autoPict="0">
                <anchor moveWithCells="1">
                  <from>
                    <xdr:col>5</xdr:col>
                    <xdr:colOff>209550</xdr:colOff>
                    <xdr:row>22</xdr:row>
                    <xdr:rowOff>19050</xdr:rowOff>
                  </from>
                  <to>
                    <xdr:col>5</xdr:col>
                    <xdr:colOff>419100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9" name="Option Button 7">
              <controlPr defaultSize="0" autoFill="0" autoLine="0" autoPict="0">
                <anchor moveWithCells="1">
                  <from>
                    <xdr:col>6</xdr:col>
                    <xdr:colOff>219075</xdr:colOff>
                    <xdr:row>22</xdr:row>
                    <xdr:rowOff>19050</xdr:rowOff>
                  </from>
                  <to>
                    <xdr:col>7</xdr:col>
                    <xdr:colOff>76200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0" name="Option Button 8">
              <controlPr defaultSize="0" autoFill="0" autoLine="0" autoPict="0">
                <anchor moveWithCells="1">
                  <from>
                    <xdr:col>4</xdr:col>
                    <xdr:colOff>209550</xdr:colOff>
                    <xdr:row>23</xdr:row>
                    <xdr:rowOff>19050</xdr:rowOff>
                  </from>
                  <to>
                    <xdr:col>5</xdr:col>
                    <xdr:colOff>142875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1" name="Option Button 9">
              <controlPr defaultSize="0" autoFill="0" autoLine="0" autoPict="0">
                <anchor moveWithCells="1">
                  <from>
                    <xdr:col>5</xdr:col>
                    <xdr:colOff>209550</xdr:colOff>
                    <xdr:row>23</xdr:row>
                    <xdr:rowOff>19050</xdr:rowOff>
                  </from>
                  <to>
                    <xdr:col>5</xdr:col>
                    <xdr:colOff>419100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2" name="Option Button 10">
              <controlPr defaultSize="0" autoFill="0" autoLine="0" autoPict="0">
                <anchor moveWithCells="1">
                  <from>
                    <xdr:col>6</xdr:col>
                    <xdr:colOff>219075</xdr:colOff>
                    <xdr:row>23</xdr:row>
                    <xdr:rowOff>19050</xdr:rowOff>
                  </from>
                  <to>
                    <xdr:col>7</xdr:col>
                    <xdr:colOff>76200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3" name="Option Button 11">
              <controlPr defaultSize="0" autoFill="0" autoLine="0" autoPict="0">
                <anchor moveWithCells="1">
                  <from>
                    <xdr:col>4</xdr:col>
                    <xdr:colOff>209550</xdr:colOff>
                    <xdr:row>24</xdr:row>
                    <xdr:rowOff>19050</xdr:rowOff>
                  </from>
                  <to>
                    <xdr:col>5</xdr:col>
                    <xdr:colOff>142875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4" name="Option Button 12">
              <controlPr defaultSize="0" autoFill="0" autoLine="0" autoPict="0">
                <anchor moveWithCells="1">
                  <from>
                    <xdr:col>5</xdr:col>
                    <xdr:colOff>209550</xdr:colOff>
                    <xdr:row>24</xdr:row>
                    <xdr:rowOff>19050</xdr:rowOff>
                  </from>
                  <to>
                    <xdr:col>5</xdr:col>
                    <xdr:colOff>419100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5" name="Option Button 13">
              <controlPr defaultSize="0" autoFill="0" autoLine="0" autoPict="0">
                <anchor moveWithCells="1">
                  <from>
                    <xdr:col>6</xdr:col>
                    <xdr:colOff>219075</xdr:colOff>
                    <xdr:row>24</xdr:row>
                    <xdr:rowOff>19050</xdr:rowOff>
                  </from>
                  <to>
                    <xdr:col>7</xdr:col>
                    <xdr:colOff>76200</xdr:colOff>
                    <xdr:row>24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6" name="Option Button 14">
              <controlPr defaultSize="0" autoFill="0" autoLine="0" autoPict="0">
                <anchor moveWithCells="1">
                  <from>
                    <xdr:col>4</xdr:col>
                    <xdr:colOff>209550</xdr:colOff>
                    <xdr:row>25</xdr:row>
                    <xdr:rowOff>19050</xdr:rowOff>
                  </from>
                  <to>
                    <xdr:col>5</xdr:col>
                    <xdr:colOff>142875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7" name="Option Button 15">
              <controlPr defaultSize="0" autoFill="0" autoLine="0" autoPict="0">
                <anchor moveWithCells="1">
                  <from>
                    <xdr:col>5</xdr:col>
                    <xdr:colOff>209550</xdr:colOff>
                    <xdr:row>25</xdr:row>
                    <xdr:rowOff>19050</xdr:rowOff>
                  </from>
                  <to>
                    <xdr:col>5</xdr:col>
                    <xdr:colOff>419100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18" name="Option Button 16">
              <controlPr defaultSize="0" autoFill="0" autoLine="0" autoPict="0">
                <anchor moveWithCells="1">
                  <from>
                    <xdr:col>6</xdr:col>
                    <xdr:colOff>219075</xdr:colOff>
                    <xdr:row>25</xdr:row>
                    <xdr:rowOff>19050</xdr:rowOff>
                  </from>
                  <to>
                    <xdr:col>7</xdr:col>
                    <xdr:colOff>76200</xdr:colOff>
                    <xdr:row>25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19" name="Group Box 17">
              <controlPr defaultSize="0" autoFill="0" autoPict="0">
                <anchor moveWithCells="1">
                  <from>
                    <xdr:col>4</xdr:col>
                    <xdr:colOff>57150</xdr:colOff>
                    <xdr:row>14</xdr:row>
                    <xdr:rowOff>161925</xdr:rowOff>
                  </from>
                  <to>
                    <xdr:col>8</xdr:col>
                    <xdr:colOff>266700</xdr:colOff>
                    <xdr:row>16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0" name="Group Box 18">
              <controlPr defaultSize="0" autoFill="0" autoPict="0">
                <anchor moveWithCells="1">
                  <from>
                    <xdr:col>4</xdr:col>
                    <xdr:colOff>0</xdr:colOff>
                    <xdr:row>22</xdr:row>
                    <xdr:rowOff>9525</xdr:rowOff>
                  </from>
                  <to>
                    <xdr:col>8</xdr:col>
                    <xdr:colOff>390525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1" name="Group Box 20">
              <controlPr defaultSize="0" autoFill="0" autoPict="0">
                <anchor moveWithCells="1">
                  <from>
                    <xdr:col>4</xdr:col>
                    <xdr:colOff>0</xdr:colOff>
                    <xdr:row>24</xdr:row>
                    <xdr:rowOff>9525</xdr:rowOff>
                  </from>
                  <to>
                    <xdr:col>8</xdr:col>
                    <xdr:colOff>400050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22" name="Group Box 21">
              <controlPr defaultSize="0" autoFill="0" autoPict="0">
                <anchor moveWithCells="1">
                  <from>
                    <xdr:col>4</xdr:col>
                    <xdr:colOff>0</xdr:colOff>
                    <xdr:row>24</xdr:row>
                    <xdr:rowOff>200025</xdr:rowOff>
                  </from>
                  <to>
                    <xdr:col>8</xdr:col>
                    <xdr:colOff>400050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0" r:id="rId23" name="Option Button 34">
              <controlPr defaultSize="0" autoFill="0" autoLine="0" autoPict="0">
                <anchor moveWithCells="1">
                  <from>
                    <xdr:col>4</xdr:col>
                    <xdr:colOff>209550</xdr:colOff>
                    <xdr:row>6</xdr:row>
                    <xdr:rowOff>19050</xdr:rowOff>
                  </from>
                  <to>
                    <xdr:col>5</xdr:col>
                    <xdr:colOff>142875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1" r:id="rId24" name="Option Button 35">
              <controlPr defaultSize="0" autoFill="0" autoLine="0" autoPict="0">
                <anchor moveWithCells="1">
                  <from>
                    <xdr:col>5</xdr:col>
                    <xdr:colOff>209550</xdr:colOff>
                    <xdr:row>6</xdr:row>
                    <xdr:rowOff>19050</xdr:rowOff>
                  </from>
                  <to>
                    <xdr:col>5</xdr:col>
                    <xdr:colOff>419100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2" r:id="rId25" name="Option Button 36">
              <controlPr defaultSize="0" autoFill="0" autoLine="0" autoPict="0">
                <anchor moveWithCells="1">
                  <from>
                    <xdr:col>6</xdr:col>
                    <xdr:colOff>219075</xdr:colOff>
                    <xdr:row>6</xdr:row>
                    <xdr:rowOff>19050</xdr:rowOff>
                  </from>
                  <to>
                    <xdr:col>7</xdr:col>
                    <xdr:colOff>76200</xdr:colOff>
                    <xdr:row>6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3" r:id="rId26" name="Option Button 37">
              <controlPr defaultSize="0" autoFill="0" autoLine="0" autoPict="0">
                <anchor moveWithCells="1">
                  <from>
                    <xdr:col>4</xdr:col>
                    <xdr:colOff>209550</xdr:colOff>
                    <xdr:row>7</xdr:row>
                    <xdr:rowOff>19050</xdr:rowOff>
                  </from>
                  <to>
                    <xdr:col>5</xdr:col>
                    <xdr:colOff>142875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4" r:id="rId27" name="Option Button 38">
              <controlPr defaultSize="0" autoFill="0" autoLine="0" autoPict="0">
                <anchor moveWithCells="1">
                  <from>
                    <xdr:col>5</xdr:col>
                    <xdr:colOff>209550</xdr:colOff>
                    <xdr:row>7</xdr:row>
                    <xdr:rowOff>19050</xdr:rowOff>
                  </from>
                  <to>
                    <xdr:col>5</xdr:col>
                    <xdr:colOff>419100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5" r:id="rId28" name="Option Button 39">
              <controlPr defaultSize="0" autoFill="0" autoLine="0" autoPict="0">
                <anchor moveWithCells="1">
                  <from>
                    <xdr:col>6</xdr:col>
                    <xdr:colOff>219075</xdr:colOff>
                    <xdr:row>7</xdr:row>
                    <xdr:rowOff>19050</xdr:rowOff>
                  </from>
                  <to>
                    <xdr:col>7</xdr:col>
                    <xdr:colOff>76200</xdr:colOff>
                    <xdr:row>7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6" r:id="rId29" name="Option Button 40">
              <controlPr defaultSize="0" autoFill="0" autoLine="0" autoPict="0">
                <anchor moveWithCells="1">
                  <from>
                    <xdr:col>4</xdr:col>
                    <xdr:colOff>209550</xdr:colOff>
                    <xdr:row>8</xdr:row>
                    <xdr:rowOff>19050</xdr:rowOff>
                  </from>
                  <to>
                    <xdr:col>5</xdr:col>
                    <xdr:colOff>142875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7" r:id="rId30" name="Option Button 41">
              <controlPr defaultSize="0" autoFill="0" autoLine="0" autoPict="0">
                <anchor moveWithCells="1">
                  <from>
                    <xdr:col>5</xdr:col>
                    <xdr:colOff>209550</xdr:colOff>
                    <xdr:row>8</xdr:row>
                    <xdr:rowOff>19050</xdr:rowOff>
                  </from>
                  <to>
                    <xdr:col>5</xdr:col>
                    <xdr:colOff>419100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38" r:id="rId31" name="Option Button 42">
              <controlPr defaultSize="0" autoFill="0" autoLine="0" autoPict="0">
                <anchor moveWithCells="1">
                  <from>
                    <xdr:col>6</xdr:col>
                    <xdr:colOff>219075</xdr:colOff>
                    <xdr:row>8</xdr:row>
                    <xdr:rowOff>19050</xdr:rowOff>
                  </from>
                  <to>
                    <xdr:col>7</xdr:col>
                    <xdr:colOff>76200</xdr:colOff>
                    <xdr:row>8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0" r:id="rId32" name="Group Box 44">
              <controlPr defaultSize="0" autoFill="0" autoPict="0">
                <anchor moveWithCells="1">
                  <from>
                    <xdr:col>3</xdr:col>
                    <xdr:colOff>76200</xdr:colOff>
                    <xdr:row>7</xdr:row>
                    <xdr:rowOff>9525</xdr:rowOff>
                  </from>
                  <to>
                    <xdr:col>8</xdr:col>
                    <xdr:colOff>266700</xdr:colOff>
                    <xdr:row>7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1" r:id="rId33" name="Group Box 45">
              <controlPr defaultSize="0" autoFill="0" autoPict="0">
                <anchor moveWithCells="1">
                  <from>
                    <xdr:col>3</xdr:col>
                    <xdr:colOff>76200</xdr:colOff>
                    <xdr:row>8</xdr:row>
                    <xdr:rowOff>19050</xdr:rowOff>
                  </from>
                  <to>
                    <xdr:col>8</xdr:col>
                    <xdr:colOff>266700</xdr:colOff>
                    <xdr:row>9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2" r:id="rId34" name="Group Box 46">
              <controlPr defaultSize="0" autoFill="0" autoPict="0">
                <anchor moveWithCells="1">
                  <from>
                    <xdr:col>3</xdr:col>
                    <xdr:colOff>76200</xdr:colOff>
                    <xdr:row>6</xdr:row>
                    <xdr:rowOff>0</xdr:rowOff>
                  </from>
                  <to>
                    <xdr:col>8</xdr:col>
                    <xdr:colOff>266700</xdr:colOff>
                    <xdr:row>7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3" r:id="rId35" name="Option Button 47">
              <controlPr defaultSize="0" autoFill="0" autoLine="0" autoPict="0">
                <anchor moveWithCells="1">
                  <from>
                    <xdr:col>4</xdr:col>
                    <xdr:colOff>209550</xdr:colOff>
                    <xdr:row>32</xdr:row>
                    <xdr:rowOff>19050</xdr:rowOff>
                  </from>
                  <to>
                    <xdr:col>5</xdr:col>
                    <xdr:colOff>142875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4" r:id="rId36" name="Option Button 48">
              <controlPr defaultSize="0" autoFill="0" autoLine="0" autoPict="0">
                <anchor moveWithCells="1">
                  <from>
                    <xdr:col>5</xdr:col>
                    <xdr:colOff>209550</xdr:colOff>
                    <xdr:row>32</xdr:row>
                    <xdr:rowOff>19050</xdr:rowOff>
                  </from>
                  <to>
                    <xdr:col>5</xdr:col>
                    <xdr:colOff>419100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5" r:id="rId37" name="Option Button 49">
              <controlPr defaultSize="0" autoFill="0" autoLine="0" autoPict="0">
                <anchor moveWithCells="1">
                  <from>
                    <xdr:col>6</xdr:col>
                    <xdr:colOff>219075</xdr:colOff>
                    <xdr:row>32</xdr:row>
                    <xdr:rowOff>19050</xdr:rowOff>
                  </from>
                  <to>
                    <xdr:col>7</xdr:col>
                    <xdr:colOff>76200</xdr:colOff>
                    <xdr:row>32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6" r:id="rId38" name="Option Button 50">
              <controlPr defaultSize="0" autoFill="0" autoLine="0" autoPict="0">
                <anchor moveWithCells="1">
                  <from>
                    <xdr:col>4</xdr:col>
                    <xdr:colOff>209550</xdr:colOff>
                    <xdr:row>33</xdr:row>
                    <xdr:rowOff>19050</xdr:rowOff>
                  </from>
                  <to>
                    <xdr:col>5</xdr:col>
                    <xdr:colOff>142875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7" r:id="rId39" name="Option Button 51">
              <controlPr defaultSize="0" autoFill="0" autoLine="0" autoPict="0">
                <anchor moveWithCells="1">
                  <from>
                    <xdr:col>5</xdr:col>
                    <xdr:colOff>209550</xdr:colOff>
                    <xdr:row>33</xdr:row>
                    <xdr:rowOff>19050</xdr:rowOff>
                  </from>
                  <to>
                    <xdr:col>5</xdr:col>
                    <xdr:colOff>419100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8" r:id="rId40" name="Option Button 52">
              <controlPr defaultSize="0" autoFill="0" autoLine="0" autoPict="0">
                <anchor moveWithCells="1">
                  <from>
                    <xdr:col>6</xdr:col>
                    <xdr:colOff>219075</xdr:colOff>
                    <xdr:row>33</xdr:row>
                    <xdr:rowOff>19050</xdr:rowOff>
                  </from>
                  <to>
                    <xdr:col>7</xdr:col>
                    <xdr:colOff>76200</xdr:colOff>
                    <xdr:row>33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49" r:id="rId41" name="Group Box 53">
              <controlPr defaultSize="0" autoFill="0" autoPict="0">
                <anchor moveWithCells="1">
                  <from>
                    <xdr:col>4</xdr:col>
                    <xdr:colOff>9525</xdr:colOff>
                    <xdr:row>31</xdr:row>
                    <xdr:rowOff>123825</xdr:rowOff>
                  </from>
                  <to>
                    <xdr:col>8</xdr:col>
                    <xdr:colOff>390525</xdr:colOff>
                    <xdr:row>32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50" r:id="rId42" name="Group Box 54">
              <controlPr defaultSize="0" autoFill="0" autoPict="0">
                <anchor moveWithCells="1">
                  <from>
                    <xdr:col>3</xdr:col>
                    <xdr:colOff>76200</xdr:colOff>
                    <xdr:row>33</xdr:row>
                    <xdr:rowOff>9525</xdr:rowOff>
                  </from>
                  <to>
                    <xdr:col>8</xdr:col>
                    <xdr:colOff>276225</xdr:colOff>
                    <xdr:row>34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3173-6D14-4AD7-B045-D83503E6CD4B}">
  <sheetPr codeName="Sheet11">
    <tabColor theme="4" tint="0.39997558519241921"/>
  </sheetPr>
  <dimension ref="A1:W56"/>
  <sheetViews>
    <sheetView showGridLines="0" zoomScale="75" zoomScaleNormal="75" workbookViewId="0">
      <selection activeCell="H13" sqref="H13"/>
    </sheetView>
  </sheetViews>
  <sheetFormatPr defaultRowHeight="15" x14ac:dyDescent="0.25"/>
  <cols>
    <col min="1" max="1" width="3" style="198" bestFit="1" customWidth="1"/>
    <col min="2" max="2" width="32" bestFit="1" customWidth="1"/>
    <col min="3" max="3" width="1.7109375" customWidth="1"/>
    <col min="4" max="4" width="13.28515625" bestFit="1" customWidth="1"/>
    <col min="5" max="5" width="1.7109375" customWidth="1"/>
    <col min="6" max="6" width="8.5703125" bestFit="1" customWidth="1"/>
    <col min="7" max="7" width="1.7109375" customWidth="1"/>
    <col min="8" max="9" width="10.5703125" bestFit="1" customWidth="1"/>
    <col min="10" max="10" width="11.5703125" bestFit="1" customWidth="1"/>
    <col min="11" max="11" width="12" bestFit="1" customWidth="1"/>
    <col min="12" max="12" width="10.5703125" bestFit="1" customWidth="1"/>
    <col min="13" max="13" width="12" bestFit="1" customWidth="1"/>
    <col min="14" max="19" width="9.85546875" bestFit="1" customWidth="1"/>
    <col min="20" max="20" width="1.7109375" customWidth="1"/>
    <col min="21" max="21" width="13.28515625" bestFit="1" customWidth="1"/>
    <col min="22" max="22" width="1.7109375" customWidth="1"/>
    <col min="23" max="23" width="7.7109375" bestFit="1" customWidth="1"/>
  </cols>
  <sheetData>
    <row r="1" spans="1:21" ht="21" customHeight="1" x14ac:dyDescent="0.3">
      <c r="B1" s="17" t="str" cm="1">
        <f t="array" ref="B1">Company_Name</f>
        <v>Pinnacle Supplier DBA Candy Confection</v>
      </c>
    </row>
    <row r="2" spans="1:21" ht="16.5" customHeight="1" x14ac:dyDescent="0.25">
      <c r="B2" s="1" t="s">
        <v>342</v>
      </c>
    </row>
    <row r="3" spans="1:21" ht="16.5" customHeight="1" x14ac:dyDescent="0.25">
      <c r="B3" s="4" t="s">
        <v>243</v>
      </c>
    </row>
    <row r="4" spans="1:21" ht="16.5" customHeight="1" x14ac:dyDescent="0.25">
      <c r="B4" s="4"/>
    </row>
    <row r="5" spans="1:21" s="4" customFormat="1" ht="16.5" customHeight="1" x14ac:dyDescent="0.2">
      <c r="A5" s="2"/>
      <c r="B5" s="227" t="s">
        <v>388</v>
      </c>
      <c r="C5" s="228"/>
      <c r="D5" s="229"/>
    </row>
    <row r="6" spans="1:21" s="4" customFormat="1" ht="16.5" customHeight="1" x14ac:dyDescent="0.2">
      <c r="A6" s="2"/>
      <c r="B6" s="311" t="str">
        <f>B10</f>
        <v>Commercial Kitchen</v>
      </c>
      <c r="C6" s="57"/>
      <c r="D6" s="329" t="b">
        <f>Assumptions!E12</f>
        <v>1</v>
      </c>
    </row>
    <row r="7" spans="1:21" s="4" customFormat="1" ht="16.5" customHeight="1" x14ac:dyDescent="0.2">
      <c r="A7" s="2"/>
      <c r="B7" s="311" t="str">
        <f>B22</f>
        <v>Tempering Machine</v>
      </c>
      <c r="C7" s="57"/>
      <c r="D7" s="328" t="b">
        <f>Assumptions!E13</f>
        <v>1</v>
      </c>
    </row>
    <row r="8" spans="1:21" s="4" customFormat="1" ht="16.5" customHeight="1" x14ac:dyDescent="0.2">
      <c r="A8" s="2"/>
      <c r="B8" s="312" t="str">
        <f>B34</f>
        <v>Automatic Filler</v>
      </c>
      <c r="C8" s="70"/>
      <c r="D8" s="330" t="b">
        <f>Assumptions!E14</f>
        <v>1</v>
      </c>
    </row>
    <row r="9" spans="1:21" ht="15.75" thickBot="1" x14ac:dyDescent="0.3"/>
    <row r="10" spans="1:21" s="57" customFormat="1" ht="16.5" customHeight="1" thickBot="1" x14ac:dyDescent="0.3">
      <c r="A10" s="59">
        <v>1</v>
      </c>
      <c r="B10" s="197" t="s">
        <v>327</v>
      </c>
      <c r="D10" s="117" t="s">
        <v>337</v>
      </c>
      <c r="F10" s="117" t="s">
        <v>333</v>
      </c>
      <c r="G10" s="65"/>
      <c r="H10" s="189">
        <v>45688</v>
      </c>
      <c r="I10" s="189">
        <v>45716</v>
      </c>
      <c r="J10" s="189">
        <v>45747</v>
      </c>
      <c r="K10" s="189">
        <v>45777</v>
      </c>
      <c r="L10" s="189">
        <v>45808</v>
      </c>
      <c r="M10" s="189">
        <v>45838</v>
      </c>
      <c r="N10" s="189">
        <v>45869</v>
      </c>
      <c r="O10" s="189">
        <v>45900</v>
      </c>
      <c r="P10" s="189">
        <v>45930</v>
      </c>
      <c r="Q10" s="189">
        <v>45961</v>
      </c>
      <c r="R10" s="189">
        <v>45991</v>
      </c>
      <c r="S10" s="189">
        <v>46022</v>
      </c>
      <c r="T10" s="174"/>
      <c r="U10" s="189" t="s">
        <v>10</v>
      </c>
    </row>
    <row r="11" spans="1:21" s="57" customFormat="1" ht="16.5" customHeight="1" x14ac:dyDescent="0.25">
      <c r="A11" s="59"/>
      <c r="B11" s="60"/>
      <c r="G11" s="65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74"/>
    </row>
    <row r="12" spans="1:21" s="57" customFormat="1" ht="16.5" customHeight="1" x14ac:dyDescent="0.25">
      <c r="A12" s="59"/>
      <c r="B12" s="60" t="s">
        <v>337</v>
      </c>
      <c r="D12" s="180">
        <v>800000</v>
      </c>
      <c r="G12" s="65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74"/>
    </row>
    <row r="13" spans="1:21" s="57" customFormat="1" ht="16.5" customHeight="1" x14ac:dyDescent="0.25">
      <c r="A13" s="59"/>
      <c r="B13" s="221" t="s">
        <v>330</v>
      </c>
      <c r="D13" s="177">
        <v>80000</v>
      </c>
      <c r="F13" s="181">
        <v>45716</v>
      </c>
      <c r="G13" s="65"/>
      <c r="H13" s="164">
        <f xml:space="preserve"> ($D13) * ISNUMBER(MATCH(H$10, $F13, 0)) * $D$6</f>
        <v>0</v>
      </c>
      <c r="I13" s="164">
        <f t="shared" ref="I13:S15" si="0" xml:space="preserve"> ($D13) * ISNUMBER(MATCH(I$10, $F13, 0)) * $D$6</f>
        <v>80000</v>
      </c>
      <c r="J13" s="164">
        <f t="shared" si="0"/>
        <v>0</v>
      </c>
      <c r="K13" s="164">
        <f t="shared" si="0"/>
        <v>0</v>
      </c>
      <c r="L13" s="164">
        <f t="shared" si="0"/>
        <v>0</v>
      </c>
      <c r="M13" s="164">
        <f t="shared" si="0"/>
        <v>0</v>
      </c>
      <c r="N13" s="164">
        <f t="shared" si="0"/>
        <v>0</v>
      </c>
      <c r="O13" s="164">
        <f t="shared" si="0"/>
        <v>0</v>
      </c>
      <c r="P13" s="164">
        <f t="shared" si="0"/>
        <v>0</v>
      </c>
      <c r="Q13" s="164">
        <f t="shared" si="0"/>
        <v>0</v>
      </c>
      <c r="R13" s="164">
        <f t="shared" si="0"/>
        <v>0</v>
      </c>
      <c r="S13" s="164">
        <f t="shared" si="0"/>
        <v>0</v>
      </c>
      <c r="T13" s="174"/>
      <c r="U13" s="164">
        <f>SUM(H13:T13)</f>
        <v>80000</v>
      </c>
    </row>
    <row r="14" spans="1:21" s="57" customFormat="1" ht="16.5" customHeight="1" x14ac:dyDescent="0.25">
      <c r="A14" s="59"/>
      <c r="B14" s="221" t="s">
        <v>331</v>
      </c>
      <c r="D14" s="177">
        <v>360000</v>
      </c>
      <c r="F14" s="181">
        <v>45777</v>
      </c>
      <c r="G14" s="65"/>
      <c r="H14" s="164">
        <f xml:space="preserve"> ($D14) * ISNUMBER(MATCH(H$10, $F14, 0)) * $D$6</f>
        <v>0</v>
      </c>
      <c r="I14" s="164">
        <f t="shared" si="0"/>
        <v>0</v>
      </c>
      <c r="J14" s="164">
        <f t="shared" si="0"/>
        <v>0</v>
      </c>
      <c r="K14" s="164">
        <f t="shared" si="0"/>
        <v>360000</v>
      </c>
      <c r="L14" s="164">
        <f t="shared" si="0"/>
        <v>0</v>
      </c>
      <c r="M14" s="164">
        <f t="shared" si="0"/>
        <v>0</v>
      </c>
      <c r="N14" s="164">
        <f t="shared" si="0"/>
        <v>0</v>
      </c>
      <c r="O14" s="164">
        <f t="shared" si="0"/>
        <v>0</v>
      </c>
      <c r="P14" s="164">
        <f t="shared" si="0"/>
        <v>0</v>
      </c>
      <c r="Q14" s="164">
        <f t="shared" si="0"/>
        <v>0</v>
      </c>
      <c r="R14" s="164">
        <f t="shared" si="0"/>
        <v>0</v>
      </c>
      <c r="S14" s="164">
        <f t="shared" si="0"/>
        <v>0</v>
      </c>
      <c r="T14" s="174"/>
      <c r="U14" s="164">
        <f>SUM(H14:T14)</f>
        <v>360000</v>
      </c>
    </row>
    <row r="15" spans="1:21" s="57" customFormat="1" ht="16.5" customHeight="1" x14ac:dyDescent="0.25">
      <c r="A15" s="59"/>
      <c r="B15" s="221" t="s">
        <v>332</v>
      </c>
      <c r="D15" s="177">
        <v>360000</v>
      </c>
      <c r="F15" s="181">
        <v>45838</v>
      </c>
      <c r="G15" s="65"/>
      <c r="H15" s="164">
        <f xml:space="preserve"> ($D15) * ISNUMBER(MATCH(H$10, $F15, 0)) * $D$6</f>
        <v>0</v>
      </c>
      <c r="I15" s="164">
        <f t="shared" si="0"/>
        <v>0</v>
      </c>
      <c r="J15" s="164">
        <f t="shared" si="0"/>
        <v>0</v>
      </c>
      <c r="K15" s="164">
        <f t="shared" si="0"/>
        <v>0</v>
      </c>
      <c r="L15" s="164">
        <f t="shared" si="0"/>
        <v>0</v>
      </c>
      <c r="M15" s="164">
        <f t="shared" si="0"/>
        <v>360000</v>
      </c>
      <c r="N15" s="164">
        <f t="shared" si="0"/>
        <v>0</v>
      </c>
      <c r="O15" s="164">
        <f t="shared" si="0"/>
        <v>0</v>
      </c>
      <c r="P15" s="164">
        <f t="shared" si="0"/>
        <v>0</v>
      </c>
      <c r="Q15" s="164">
        <f t="shared" si="0"/>
        <v>0</v>
      </c>
      <c r="R15" s="164">
        <f t="shared" si="0"/>
        <v>0</v>
      </c>
      <c r="S15" s="164">
        <f t="shared" si="0"/>
        <v>0</v>
      </c>
      <c r="T15" s="174"/>
      <c r="U15" s="164">
        <f>SUM(H15:T15)</f>
        <v>360000</v>
      </c>
    </row>
    <row r="16" spans="1:21" s="57" customFormat="1" ht="16.5" customHeight="1" thickBot="1" x14ac:dyDescent="0.3">
      <c r="A16" s="59"/>
      <c r="B16" s="184" t="s">
        <v>266</v>
      </c>
      <c r="D16" s="165">
        <f>SUM(D13:D15)</f>
        <v>800000</v>
      </c>
      <c r="G16" s="65"/>
      <c r="H16" s="165">
        <f t="shared" ref="H16:S16" si="1">SUM(H13:H15)</f>
        <v>0</v>
      </c>
      <c r="I16" s="165">
        <f t="shared" si="1"/>
        <v>80000</v>
      </c>
      <c r="J16" s="165">
        <f t="shared" si="1"/>
        <v>0</v>
      </c>
      <c r="K16" s="165">
        <f t="shared" si="1"/>
        <v>360000</v>
      </c>
      <c r="L16" s="165">
        <f t="shared" si="1"/>
        <v>0</v>
      </c>
      <c r="M16" s="165">
        <f t="shared" si="1"/>
        <v>360000</v>
      </c>
      <c r="N16" s="165">
        <f t="shared" si="1"/>
        <v>0</v>
      </c>
      <c r="O16" s="165">
        <f t="shared" si="1"/>
        <v>0</v>
      </c>
      <c r="P16" s="165">
        <f t="shared" si="1"/>
        <v>0</v>
      </c>
      <c r="Q16" s="165">
        <f t="shared" si="1"/>
        <v>0</v>
      </c>
      <c r="R16" s="165">
        <f t="shared" si="1"/>
        <v>0</v>
      </c>
      <c r="S16" s="165">
        <f t="shared" si="1"/>
        <v>0</v>
      </c>
      <c r="T16" s="174"/>
      <c r="U16" s="165">
        <f>SUM(U13:U15)</f>
        <v>800000</v>
      </c>
    </row>
    <row r="17" spans="1:21" s="57" customFormat="1" ht="16.5" customHeight="1" x14ac:dyDescent="0.25">
      <c r="A17" s="59"/>
      <c r="B17" s="185" t="s">
        <v>308</v>
      </c>
      <c r="D17" s="183">
        <f>D12-SUM(H16:T16)</f>
        <v>0</v>
      </c>
      <c r="G17" s="65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64"/>
      <c r="S17" s="164"/>
      <c r="T17" s="174"/>
      <c r="U17" s="164"/>
    </row>
    <row r="18" spans="1:21" s="57" customFormat="1" ht="16.5" customHeight="1" x14ac:dyDescent="0.25">
      <c r="A18" s="59"/>
      <c r="B18" s="159"/>
      <c r="D18" s="183"/>
      <c r="G18" s="65"/>
      <c r="T18" s="174"/>
    </row>
    <row r="19" spans="1:21" s="57" customFormat="1" ht="16.5" customHeight="1" x14ac:dyDescent="0.25">
      <c r="A19" s="59"/>
      <c r="B19" s="182" t="s">
        <v>387</v>
      </c>
      <c r="F19" s="186">
        <v>15</v>
      </c>
      <c r="G19" s="65"/>
      <c r="H19" s="93">
        <f>IFERROR(IF(EOMONTH($F20,-1)=H10,0.5,1)
*($D12/$F19/12)
*($F20&lt;=EOMONTH(H10,1))
* $D$6,0)</f>
        <v>0</v>
      </c>
      <c r="I19" s="93">
        <f t="shared" ref="I19:S19" si="2">IFERROR(IF(EOMONTH($F20,-1)=I10,0.5,1)
*($D12/$F19/12)
*($F20&lt;=EOMONTH(I10,1))
* $D$6,0)</f>
        <v>0</v>
      </c>
      <c r="J19" s="93">
        <f t="shared" si="2"/>
        <v>0</v>
      </c>
      <c r="K19" s="93">
        <f t="shared" si="2"/>
        <v>0</v>
      </c>
      <c r="L19" s="93">
        <f t="shared" si="2"/>
        <v>0</v>
      </c>
      <c r="M19" s="93">
        <f t="shared" si="2"/>
        <v>2222.2222222222222</v>
      </c>
      <c r="N19" s="93">
        <f t="shared" si="2"/>
        <v>4444.4444444444443</v>
      </c>
      <c r="O19" s="93">
        <f t="shared" si="2"/>
        <v>4444.4444444444443</v>
      </c>
      <c r="P19" s="93">
        <f t="shared" si="2"/>
        <v>4444.4444444444443</v>
      </c>
      <c r="Q19" s="93">
        <f t="shared" si="2"/>
        <v>4444.4444444444443</v>
      </c>
      <c r="R19" s="93">
        <f t="shared" si="2"/>
        <v>4444.4444444444443</v>
      </c>
      <c r="S19" s="93">
        <f t="shared" si="2"/>
        <v>4444.4444444444443</v>
      </c>
      <c r="T19" s="174"/>
      <c r="U19" s="164">
        <f>SUM(H19:T19)</f>
        <v>28888.888888888891</v>
      </c>
    </row>
    <row r="20" spans="1:21" s="57" customFormat="1" ht="16.5" customHeight="1" thickBot="1" x14ac:dyDescent="0.3">
      <c r="A20" s="199"/>
      <c r="B20" s="190" t="s">
        <v>339</v>
      </c>
      <c r="C20" s="191"/>
      <c r="D20" s="191"/>
      <c r="E20" s="192"/>
      <c r="F20" s="192" cm="1">
        <f t="array" ref="F20">INDEX(H10:T10,1,_xlfn.XMATCH(TRUE,H16:T16&lt;&gt;0,2,-1)+1)</f>
        <v>45869</v>
      </c>
      <c r="G20" s="193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4"/>
      <c r="U20" s="191"/>
    </row>
    <row r="21" spans="1:21" s="57" customFormat="1" ht="16.5" customHeight="1" thickBot="1" x14ac:dyDescent="0.3">
      <c r="A21" s="59"/>
      <c r="B21" s="182"/>
      <c r="D21" s="188"/>
      <c r="E21" s="187"/>
      <c r="G21" s="65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174"/>
    </row>
    <row r="22" spans="1:21" s="57" customFormat="1" ht="16.5" customHeight="1" thickBot="1" x14ac:dyDescent="0.3">
      <c r="A22" s="59">
        <v>2</v>
      </c>
      <c r="B22" s="197" t="s">
        <v>328</v>
      </c>
      <c r="D22" s="117" t="s">
        <v>337</v>
      </c>
      <c r="F22" s="117" t="s">
        <v>333</v>
      </c>
      <c r="G22" s="65"/>
      <c r="H22" s="189">
        <v>45688</v>
      </c>
      <c r="I22" s="189">
        <v>45716</v>
      </c>
      <c r="J22" s="189">
        <v>45747</v>
      </c>
      <c r="K22" s="189">
        <v>45777</v>
      </c>
      <c r="L22" s="189">
        <v>45808</v>
      </c>
      <c r="M22" s="189">
        <v>45838</v>
      </c>
      <c r="N22" s="189">
        <v>45869</v>
      </c>
      <c r="O22" s="189">
        <v>45900</v>
      </c>
      <c r="P22" s="189">
        <v>45930</v>
      </c>
      <c r="Q22" s="189">
        <v>45961</v>
      </c>
      <c r="R22" s="189">
        <v>45991</v>
      </c>
      <c r="S22" s="189">
        <v>46022</v>
      </c>
      <c r="T22" s="174"/>
      <c r="U22" s="189" t="s">
        <v>10</v>
      </c>
    </row>
    <row r="23" spans="1:21" s="57" customFormat="1" ht="16.5" customHeight="1" x14ac:dyDescent="0.25">
      <c r="A23" s="59"/>
      <c r="G23" s="65"/>
      <c r="T23" s="174"/>
    </row>
    <row r="24" spans="1:21" s="57" customFormat="1" ht="16.5" customHeight="1" x14ac:dyDescent="0.25">
      <c r="A24" s="59"/>
      <c r="B24" s="60" t="s">
        <v>337</v>
      </c>
      <c r="D24" s="180">
        <v>300000</v>
      </c>
      <c r="G24" s="65"/>
      <c r="H24" s="164"/>
      <c r="I24" s="164"/>
      <c r="J24" s="164"/>
      <c r="K24" s="164"/>
      <c r="L24" s="164"/>
      <c r="M24" s="164"/>
      <c r="N24" s="164"/>
      <c r="O24" s="164"/>
      <c r="P24" s="164"/>
      <c r="Q24" s="164"/>
      <c r="R24" s="164"/>
      <c r="S24" s="164"/>
      <c r="T24" s="174"/>
    </row>
    <row r="25" spans="1:21" s="57" customFormat="1" ht="16.5" customHeight="1" x14ac:dyDescent="0.25">
      <c r="A25" s="59"/>
      <c r="B25" s="221" t="s">
        <v>330</v>
      </c>
      <c r="D25" s="164">
        <v>60000</v>
      </c>
      <c r="F25" s="181">
        <v>45747</v>
      </c>
      <c r="G25" s="65"/>
      <c r="H25" s="164">
        <f xml:space="preserve"> ($D25) * ISNUMBER(MATCH(H$22, $F25, 0)) * $D$7</f>
        <v>0</v>
      </c>
      <c r="I25" s="164">
        <f t="shared" ref="I25:S27" si="3" xml:space="preserve"> ($D25) * ISNUMBER(MATCH(I$22, $F25, 0)) * $D$7</f>
        <v>0</v>
      </c>
      <c r="J25" s="164">
        <f t="shared" si="3"/>
        <v>60000</v>
      </c>
      <c r="K25" s="164">
        <f t="shared" si="3"/>
        <v>0</v>
      </c>
      <c r="L25" s="164">
        <f t="shared" si="3"/>
        <v>0</v>
      </c>
      <c r="M25" s="164">
        <f t="shared" si="3"/>
        <v>0</v>
      </c>
      <c r="N25" s="164">
        <f t="shared" si="3"/>
        <v>0</v>
      </c>
      <c r="O25" s="164">
        <f t="shared" si="3"/>
        <v>0</v>
      </c>
      <c r="P25" s="164">
        <f t="shared" si="3"/>
        <v>0</v>
      </c>
      <c r="Q25" s="164">
        <f t="shared" si="3"/>
        <v>0</v>
      </c>
      <c r="R25" s="164">
        <f t="shared" si="3"/>
        <v>0</v>
      </c>
      <c r="S25" s="164">
        <f t="shared" si="3"/>
        <v>0</v>
      </c>
      <c r="T25" s="174"/>
      <c r="U25" s="164">
        <f>SUM(H25:T25)</f>
        <v>60000</v>
      </c>
    </row>
    <row r="26" spans="1:21" s="57" customFormat="1" ht="16.5" customHeight="1" x14ac:dyDescent="0.25">
      <c r="A26" s="59"/>
      <c r="B26" s="221" t="s">
        <v>336</v>
      </c>
      <c r="D26" s="164">
        <v>240000</v>
      </c>
      <c r="F26" s="181">
        <v>45777</v>
      </c>
      <c r="G26" s="65"/>
      <c r="H26" s="164">
        <f xml:space="preserve"> ($D26) * ISNUMBER(MATCH(H$22, $F26, 0)) * $D$7</f>
        <v>0</v>
      </c>
      <c r="I26" s="164">
        <f t="shared" si="3"/>
        <v>0</v>
      </c>
      <c r="J26" s="164">
        <f t="shared" si="3"/>
        <v>0</v>
      </c>
      <c r="K26" s="164">
        <f t="shared" si="3"/>
        <v>240000</v>
      </c>
      <c r="L26" s="164">
        <f t="shared" si="3"/>
        <v>0</v>
      </c>
      <c r="M26" s="164">
        <f t="shared" si="3"/>
        <v>0</v>
      </c>
      <c r="N26" s="164">
        <f t="shared" si="3"/>
        <v>0</v>
      </c>
      <c r="O26" s="164">
        <f t="shared" si="3"/>
        <v>0</v>
      </c>
      <c r="P26" s="164">
        <f t="shared" si="3"/>
        <v>0</v>
      </c>
      <c r="Q26" s="164">
        <f t="shared" si="3"/>
        <v>0</v>
      </c>
      <c r="R26" s="164">
        <f t="shared" si="3"/>
        <v>0</v>
      </c>
      <c r="S26" s="164">
        <f t="shared" si="3"/>
        <v>0</v>
      </c>
      <c r="T26" s="174"/>
      <c r="U26" s="164">
        <f>SUM(H26:T26)</f>
        <v>240000</v>
      </c>
    </row>
    <row r="27" spans="1:21" s="57" customFormat="1" ht="16.5" customHeight="1" x14ac:dyDescent="0.25">
      <c r="A27" s="59"/>
      <c r="B27" s="221"/>
      <c r="D27" s="164">
        <v>0</v>
      </c>
      <c r="F27" s="181"/>
      <c r="G27" s="65"/>
      <c r="H27" s="164">
        <f xml:space="preserve"> ($D27) * ISNUMBER(MATCH(H$22, $F27, 0)) * $D$7</f>
        <v>0</v>
      </c>
      <c r="I27" s="164">
        <f t="shared" si="3"/>
        <v>0</v>
      </c>
      <c r="J27" s="164">
        <f t="shared" si="3"/>
        <v>0</v>
      </c>
      <c r="K27" s="164">
        <f t="shared" si="3"/>
        <v>0</v>
      </c>
      <c r="L27" s="164">
        <f t="shared" si="3"/>
        <v>0</v>
      </c>
      <c r="M27" s="164">
        <f t="shared" si="3"/>
        <v>0</v>
      </c>
      <c r="N27" s="164">
        <f t="shared" si="3"/>
        <v>0</v>
      </c>
      <c r="O27" s="164">
        <f t="shared" si="3"/>
        <v>0</v>
      </c>
      <c r="P27" s="164">
        <f t="shared" si="3"/>
        <v>0</v>
      </c>
      <c r="Q27" s="164">
        <f t="shared" si="3"/>
        <v>0</v>
      </c>
      <c r="R27" s="164">
        <f t="shared" si="3"/>
        <v>0</v>
      </c>
      <c r="S27" s="164">
        <f t="shared" si="3"/>
        <v>0</v>
      </c>
      <c r="T27" s="174"/>
      <c r="U27" s="164">
        <f>SUM(H27:T27)</f>
        <v>0</v>
      </c>
    </row>
    <row r="28" spans="1:21" s="57" customFormat="1" ht="16.5" customHeight="1" thickBot="1" x14ac:dyDescent="0.3">
      <c r="A28" s="59"/>
      <c r="B28" s="184" t="s">
        <v>266</v>
      </c>
      <c r="D28" s="165">
        <f>SUM(D25:D27)</f>
        <v>300000</v>
      </c>
      <c r="G28" s="65"/>
      <c r="H28" s="165">
        <f t="shared" ref="H28:S28" si="4">SUM(H25:H27)</f>
        <v>0</v>
      </c>
      <c r="I28" s="165">
        <f t="shared" si="4"/>
        <v>0</v>
      </c>
      <c r="J28" s="165">
        <f t="shared" si="4"/>
        <v>60000</v>
      </c>
      <c r="K28" s="165">
        <f t="shared" si="4"/>
        <v>240000</v>
      </c>
      <c r="L28" s="165">
        <f t="shared" si="4"/>
        <v>0</v>
      </c>
      <c r="M28" s="165">
        <f t="shared" si="4"/>
        <v>0</v>
      </c>
      <c r="N28" s="165">
        <f t="shared" si="4"/>
        <v>0</v>
      </c>
      <c r="O28" s="165">
        <f t="shared" si="4"/>
        <v>0</v>
      </c>
      <c r="P28" s="165">
        <f t="shared" si="4"/>
        <v>0</v>
      </c>
      <c r="Q28" s="165">
        <f t="shared" si="4"/>
        <v>0</v>
      </c>
      <c r="R28" s="165">
        <f t="shared" si="4"/>
        <v>0</v>
      </c>
      <c r="S28" s="165">
        <f t="shared" si="4"/>
        <v>0</v>
      </c>
      <c r="T28" s="174"/>
      <c r="U28" s="165">
        <f>SUM(U25:U27)</f>
        <v>300000</v>
      </c>
    </row>
    <row r="29" spans="1:21" s="57" customFormat="1" ht="16.5" customHeight="1" x14ac:dyDescent="0.25">
      <c r="A29" s="59"/>
      <c r="B29" s="185" t="s">
        <v>308</v>
      </c>
      <c r="D29" s="183">
        <f>D24-SUM(H28:T28)</f>
        <v>0</v>
      </c>
      <c r="G29" s="65"/>
      <c r="T29" s="174"/>
      <c r="U29" s="164"/>
    </row>
    <row r="30" spans="1:21" s="57" customFormat="1" ht="16.5" customHeight="1" x14ac:dyDescent="0.25">
      <c r="A30" s="59"/>
      <c r="B30" s="159"/>
      <c r="D30" s="183"/>
      <c r="G30" s="65"/>
      <c r="T30" s="174"/>
    </row>
    <row r="31" spans="1:21" s="57" customFormat="1" ht="16.5" customHeight="1" x14ac:dyDescent="0.25">
      <c r="A31" s="59"/>
      <c r="B31" s="182" t="s">
        <v>387</v>
      </c>
      <c r="F31" s="186">
        <v>5</v>
      </c>
      <c r="G31" s="65"/>
      <c r="H31" s="93">
        <f>IFERROR(IF(EOMONTH($F32,-1)=H22,0.5,1)
*($D24/$F31/12)
*($F32&lt;=EOMONTH(H22,1))
* $D$7,0)</f>
        <v>0</v>
      </c>
      <c r="I31" s="93">
        <f t="shared" ref="I31:S31" si="5">IFERROR(IF(EOMONTH($F32,-1)=I22,0.5,1)
*($D24/$F31/12)
*($F32&lt;=EOMONTH(I22,1))
* $D$7,0)</f>
        <v>0</v>
      </c>
      <c r="J31" s="93">
        <f t="shared" si="5"/>
        <v>0</v>
      </c>
      <c r="K31" s="93">
        <f t="shared" si="5"/>
        <v>2500</v>
      </c>
      <c r="L31" s="93">
        <f t="shared" si="5"/>
        <v>5000</v>
      </c>
      <c r="M31" s="93">
        <f t="shared" si="5"/>
        <v>5000</v>
      </c>
      <c r="N31" s="93">
        <f t="shared" si="5"/>
        <v>5000</v>
      </c>
      <c r="O31" s="93">
        <f t="shared" si="5"/>
        <v>5000</v>
      </c>
      <c r="P31" s="93">
        <f t="shared" si="5"/>
        <v>5000</v>
      </c>
      <c r="Q31" s="93">
        <f t="shared" si="5"/>
        <v>5000</v>
      </c>
      <c r="R31" s="93">
        <f t="shared" si="5"/>
        <v>5000</v>
      </c>
      <c r="S31" s="93">
        <f t="shared" si="5"/>
        <v>5000</v>
      </c>
      <c r="T31" s="174"/>
      <c r="U31" s="164">
        <f>SUM(H31:T31)</f>
        <v>42500</v>
      </c>
    </row>
    <row r="32" spans="1:21" s="57" customFormat="1" ht="16.5" customHeight="1" thickBot="1" x14ac:dyDescent="0.3">
      <c r="A32" s="199"/>
      <c r="B32" s="190" t="s">
        <v>339</v>
      </c>
      <c r="C32" s="191"/>
      <c r="D32" s="191"/>
      <c r="E32" s="191"/>
      <c r="F32" s="192" cm="1">
        <f t="array" ref="F32">INDEX(H22:T22,1,_xlfn.XMATCH(TRUE,H28:T28&lt;&gt;0,2,-1)+1)</f>
        <v>45808</v>
      </c>
      <c r="G32" s="193"/>
      <c r="H32" s="191"/>
      <c r="I32" s="191"/>
      <c r="J32" s="191"/>
      <c r="K32" s="191"/>
      <c r="L32" s="191"/>
      <c r="M32" s="191"/>
      <c r="N32" s="191"/>
      <c r="O32" s="191"/>
      <c r="P32" s="191"/>
      <c r="Q32" s="191"/>
      <c r="R32" s="191"/>
      <c r="S32" s="191"/>
      <c r="T32" s="194"/>
      <c r="U32" s="191"/>
    </row>
    <row r="33" spans="1:21" s="57" customFormat="1" ht="16.5" customHeight="1" thickBot="1" x14ac:dyDescent="0.3">
      <c r="A33" s="59"/>
      <c r="B33" s="159"/>
      <c r="D33" s="183"/>
      <c r="G33" s="65"/>
      <c r="T33" s="174"/>
    </row>
    <row r="34" spans="1:21" s="57" customFormat="1" ht="16.5" customHeight="1" thickBot="1" x14ac:dyDescent="0.3">
      <c r="A34" s="59">
        <v>3</v>
      </c>
      <c r="B34" s="197" t="s">
        <v>329</v>
      </c>
      <c r="D34" s="117" t="s">
        <v>337</v>
      </c>
      <c r="F34" s="117" t="s">
        <v>333</v>
      </c>
      <c r="G34" s="65"/>
      <c r="H34" s="189">
        <v>45688</v>
      </c>
      <c r="I34" s="189">
        <v>45716</v>
      </c>
      <c r="J34" s="189">
        <v>45747</v>
      </c>
      <c r="K34" s="189">
        <v>45777</v>
      </c>
      <c r="L34" s="189">
        <v>45808</v>
      </c>
      <c r="M34" s="189">
        <v>45838</v>
      </c>
      <c r="N34" s="189">
        <v>45869</v>
      </c>
      <c r="O34" s="189">
        <v>45900</v>
      </c>
      <c r="P34" s="189">
        <v>45930</v>
      </c>
      <c r="Q34" s="189">
        <v>45961</v>
      </c>
      <c r="R34" s="189">
        <v>45991</v>
      </c>
      <c r="S34" s="189">
        <v>46022</v>
      </c>
      <c r="T34" s="174"/>
      <c r="U34" s="189" t="s">
        <v>10</v>
      </c>
    </row>
    <row r="35" spans="1:21" s="57" customFormat="1" ht="16.5" customHeight="1" x14ac:dyDescent="0.25">
      <c r="A35" s="59"/>
      <c r="G35" s="65"/>
      <c r="T35" s="174"/>
    </row>
    <row r="36" spans="1:21" s="57" customFormat="1" ht="16.5" customHeight="1" x14ac:dyDescent="0.25">
      <c r="A36" s="59"/>
      <c r="B36" s="60" t="s">
        <v>337</v>
      </c>
      <c r="D36" s="180">
        <v>85000</v>
      </c>
      <c r="G36" s="65"/>
      <c r="H36" s="164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74"/>
    </row>
    <row r="37" spans="1:21" s="57" customFormat="1" ht="16.5" customHeight="1" x14ac:dyDescent="0.25">
      <c r="A37" s="59"/>
      <c r="B37" s="221" t="s">
        <v>335</v>
      </c>
      <c r="D37" s="164">
        <v>85000</v>
      </c>
      <c r="F37" s="181">
        <v>45747</v>
      </c>
      <c r="G37" s="65"/>
      <c r="H37" s="164">
        <f xml:space="preserve"> ($D37) * ISNUMBER(MATCH(H$34, $F37, 0)) * $D$8</f>
        <v>0</v>
      </c>
      <c r="I37" s="164">
        <f t="shared" ref="I37:S39" si="6" xml:space="preserve"> ($D37) * ISNUMBER(MATCH(I$34, $F37, 0)) * $D$8</f>
        <v>0</v>
      </c>
      <c r="J37" s="164">
        <f t="shared" si="6"/>
        <v>85000</v>
      </c>
      <c r="K37" s="164">
        <f t="shared" si="6"/>
        <v>0</v>
      </c>
      <c r="L37" s="164">
        <f t="shared" si="6"/>
        <v>0</v>
      </c>
      <c r="M37" s="164">
        <f t="shared" si="6"/>
        <v>0</v>
      </c>
      <c r="N37" s="164">
        <f t="shared" si="6"/>
        <v>0</v>
      </c>
      <c r="O37" s="164">
        <f t="shared" si="6"/>
        <v>0</v>
      </c>
      <c r="P37" s="164">
        <f t="shared" si="6"/>
        <v>0</v>
      </c>
      <c r="Q37" s="164">
        <f t="shared" si="6"/>
        <v>0</v>
      </c>
      <c r="R37" s="164">
        <f t="shared" si="6"/>
        <v>0</v>
      </c>
      <c r="S37" s="164">
        <f t="shared" si="6"/>
        <v>0</v>
      </c>
      <c r="T37" s="174"/>
      <c r="U37" s="164">
        <f>SUM(H37:T37)</f>
        <v>85000</v>
      </c>
    </row>
    <row r="38" spans="1:21" s="57" customFormat="1" ht="16.5" customHeight="1" x14ac:dyDescent="0.25">
      <c r="A38" s="59"/>
      <c r="B38" s="174"/>
      <c r="D38" s="164">
        <v>0</v>
      </c>
      <c r="F38" s="181"/>
      <c r="G38" s="65"/>
      <c r="H38" s="164">
        <f xml:space="preserve"> ($D38) * ISNUMBER(MATCH(H$34, $F38, 0)) * $D$8</f>
        <v>0</v>
      </c>
      <c r="I38" s="164">
        <f t="shared" si="6"/>
        <v>0</v>
      </c>
      <c r="J38" s="164">
        <f t="shared" si="6"/>
        <v>0</v>
      </c>
      <c r="K38" s="164">
        <f t="shared" si="6"/>
        <v>0</v>
      </c>
      <c r="L38" s="164">
        <f t="shared" si="6"/>
        <v>0</v>
      </c>
      <c r="M38" s="164">
        <f t="shared" si="6"/>
        <v>0</v>
      </c>
      <c r="N38" s="164">
        <f t="shared" si="6"/>
        <v>0</v>
      </c>
      <c r="O38" s="164">
        <f t="shared" si="6"/>
        <v>0</v>
      </c>
      <c r="P38" s="164">
        <f t="shared" si="6"/>
        <v>0</v>
      </c>
      <c r="Q38" s="164">
        <f t="shared" si="6"/>
        <v>0</v>
      </c>
      <c r="R38" s="164">
        <f t="shared" si="6"/>
        <v>0</v>
      </c>
      <c r="S38" s="164">
        <f t="shared" si="6"/>
        <v>0</v>
      </c>
      <c r="T38" s="174"/>
      <c r="U38" s="164">
        <f>SUM(H38:T38)</f>
        <v>0</v>
      </c>
    </row>
    <row r="39" spans="1:21" s="57" customFormat="1" ht="16.5" customHeight="1" x14ac:dyDescent="0.25">
      <c r="A39" s="59"/>
      <c r="B39" s="174"/>
      <c r="D39" s="164">
        <v>0</v>
      </c>
      <c r="F39" s="181"/>
      <c r="G39" s="65"/>
      <c r="H39" s="164">
        <f xml:space="preserve"> ($D39) * ISNUMBER(MATCH(H$34, $F39, 0)) * $D$8</f>
        <v>0</v>
      </c>
      <c r="I39" s="164">
        <f t="shared" si="6"/>
        <v>0</v>
      </c>
      <c r="J39" s="164">
        <f t="shared" si="6"/>
        <v>0</v>
      </c>
      <c r="K39" s="164">
        <f t="shared" si="6"/>
        <v>0</v>
      </c>
      <c r="L39" s="164">
        <f t="shared" si="6"/>
        <v>0</v>
      </c>
      <c r="M39" s="164">
        <f t="shared" si="6"/>
        <v>0</v>
      </c>
      <c r="N39" s="164">
        <f t="shared" si="6"/>
        <v>0</v>
      </c>
      <c r="O39" s="164">
        <f t="shared" si="6"/>
        <v>0</v>
      </c>
      <c r="P39" s="164">
        <f t="shared" si="6"/>
        <v>0</v>
      </c>
      <c r="Q39" s="164">
        <f t="shared" si="6"/>
        <v>0</v>
      </c>
      <c r="R39" s="164">
        <f t="shared" si="6"/>
        <v>0</v>
      </c>
      <c r="S39" s="164">
        <f t="shared" si="6"/>
        <v>0</v>
      </c>
      <c r="T39" s="174"/>
      <c r="U39" s="164">
        <f>SUM(H39:T39)</f>
        <v>0</v>
      </c>
    </row>
    <row r="40" spans="1:21" s="57" customFormat="1" ht="16.5" customHeight="1" thickBot="1" x14ac:dyDescent="0.3">
      <c r="A40" s="59"/>
      <c r="B40" s="184" t="s">
        <v>266</v>
      </c>
      <c r="D40" s="165">
        <f>SUM(D37:D39)</f>
        <v>85000</v>
      </c>
      <c r="G40" s="65"/>
      <c r="H40" s="165">
        <f t="shared" ref="H40:S40" si="7">SUM(H37:H39)</f>
        <v>0</v>
      </c>
      <c r="I40" s="165">
        <f t="shared" si="7"/>
        <v>0</v>
      </c>
      <c r="J40" s="165">
        <f t="shared" si="7"/>
        <v>85000</v>
      </c>
      <c r="K40" s="165">
        <f t="shared" si="7"/>
        <v>0</v>
      </c>
      <c r="L40" s="165">
        <f t="shared" si="7"/>
        <v>0</v>
      </c>
      <c r="M40" s="165">
        <f t="shared" si="7"/>
        <v>0</v>
      </c>
      <c r="N40" s="165">
        <f t="shared" si="7"/>
        <v>0</v>
      </c>
      <c r="O40" s="165">
        <f t="shared" si="7"/>
        <v>0</v>
      </c>
      <c r="P40" s="165">
        <f t="shared" si="7"/>
        <v>0</v>
      </c>
      <c r="Q40" s="165">
        <f t="shared" si="7"/>
        <v>0</v>
      </c>
      <c r="R40" s="165">
        <f t="shared" si="7"/>
        <v>0</v>
      </c>
      <c r="S40" s="165">
        <f t="shared" si="7"/>
        <v>0</v>
      </c>
      <c r="T40" s="174"/>
      <c r="U40" s="165">
        <f>SUM(U37:U39)</f>
        <v>85000</v>
      </c>
    </row>
    <row r="41" spans="1:21" s="57" customFormat="1" ht="16.5" customHeight="1" x14ac:dyDescent="0.25">
      <c r="A41" s="59"/>
      <c r="B41" s="185" t="s">
        <v>308</v>
      </c>
      <c r="D41" s="183">
        <f>D36-SUM(H40:T40)</f>
        <v>0</v>
      </c>
      <c r="G41" s="65"/>
      <c r="H41" s="164"/>
      <c r="I41" s="164"/>
      <c r="J41" s="164"/>
      <c r="K41" s="164"/>
      <c r="L41" s="164"/>
      <c r="M41" s="164"/>
      <c r="N41" s="164"/>
      <c r="O41" s="164"/>
      <c r="P41" s="164"/>
      <c r="Q41" s="164"/>
      <c r="R41" s="164"/>
      <c r="S41" s="164"/>
      <c r="T41" s="174"/>
      <c r="U41" s="164"/>
    </row>
    <row r="42" spans="1:21" s="57" customFormat="1" ht="16.5" customHeight="1" x14ac:dyDescent="0.25">
      <c r="A42" s="59"/>
      <c r="B42" s="159"/>
      <c r="D42" s="183"/>
      <c r="G42" s="65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74"/>
    </row>
    <row r="43" spans="1:21" s="57" customFormat="1" ht="16.5" customHeight="1" x14ac:dyDescent="0.25">
      <c r="A43" s="59"/>
      <c r="B43" s="182" t="s">
        <v>387</v>
      </c>
      <c r="F43" s="186">
        <v>7</v>
      </c>
      <c r="G43" s="65"/>
      <c r="H43" s="93">
        <f>IFERROR(IF(EOMONTH($F44,-1)=H34,0.5,1)
*($D36/$F43/12)
*($F44&lt;=EOMONTH(H34,1))
* $D$8,0)</f>
        <v>0</v>
      </c>
      <c r="I43" s="93">
        <f t="shared" ref="I43:S43" si="8">IFERROR(IF(EOMONTH($F44,-1)=I34,0.5,1)
*($D36/$F43/12)
*($F44&lt;=EOMONTH(I34,1))
* $D$8,0)</f>
        <v>0</v>
      </c>
      <c r="J43" s="93">
        <f t="shared" si="8"/>
        <v>505.95238095238096</v>
      </c>
      <c r="K43" s="93">
        <f t="shared" si="8"/>
        <v>1011.9047619047619</v>
      </c>
      <c r="L43" s="93">
        <f t="shared" si="8"/>
        <v>1011.9047619047619</v>
      </c>
      <c r="M43" s="93">
        <f t="shared" si="8"/>
        <v>1011.9047619047619</v>
      </c>
      <c r="N43" s="93">
        <f t="shared" si="8"/>
        <v>1011.9047619047619</v>
      </c>
      <c r="O43" s="93">
        <f t="shared" si="8"/>
        <v>1011.9047619047619</v>
      </c>
      <c r="P43" s="93">
        <f t="shared" si="8"/>
        <v>1011.9047619047619</v>
      </c>
      <c r="Q43" s="93">
        <f t="shared" si="8"/>
        <v>1011.9047619047619</v>
      </c>
      <c r="R43" s="93">
        <f t="shared" si="8"/>
        <v>1011.9047619047619</v>
      </c>
      <c r="S43" s="93">
        <f t="shared" si="8"/>
        <v>1011.9047619047619</v>
      </c>
      <c r="T43" s="174"/>
      <c r="U43" s="164">
        <f>SUM(H43:T43)</f>
        <v>9613.0952380952367</v>
      </c>
    </row>
    <row r="44" spans="1:21" s="57" customFormat="1" ht="16.5" customHeight="1" thickBot="1" x14ac:dyDescent="0.3">
      <c r="A44" s="199"/>
      <c r="B44" s="190" t="s">
        <v>339</v>
      </c>
      <c r="C44" s="191"/>
      <c r="D44" s="191"/>
      <c r="E44" s="191"/>
      <c r="F44" s="192" cm="1">
        <f t="array" ref="F44">INDEX(H34:T34,1,_xlfn.XMATCH(TRUE,H40:T40&lt;&gt;0,2,-1)+1)</f>
        <v>45777</v>
      </c>
      <c r="G44" s="193"/>
      <c r="H44" s="191"/>
      <c r="I44" s="191"/>
      <c r="J44" s="191"/>
      <c r="K44" s="191"/>
      <c r="L44" s="191"/>
      <c r="M44" s="191"/>
      <c r="N44" s="191"/>
      <c r="O44" s="191"/>
      <c r="P44" s="191"/>
      <c r="Q44" s="191"/>
      <c r="R44" s="191"/>
      <c r="S44" s="191"/>
      <c r="T44" s="194"/>
      <c r="U44" s="191"/>
    </row>
    <row r="45" spans="1:21" s="57" customFormat="1" ht="16.5" customHeight="1" thickBot="1" x14ac:dyDescent="0.3">
      <c r="A45" s="59"/>
      <c r="B45" s="182"/>
      <c r="F45" s="187"/>
      <c r="G45" s="65"/>
      <c r="H45" s="164"/>
      <c r="I45" s="164"/>
      <c r="J45" s="164"/>
      <c r="K45" s="164"/>
      <c r="L45" s="164"/>
      <c r="M45" s="164"/>
      <c r="N45" s="164"/>
      <c r="O45" s="164"/>
      <c r="P45" s="164"/>
      <c r="Q45" s="164"/>
      <c r="R45" s="164"/>
      <c r="S45" s="164"/>
      <c r="T45" s="174"/>
    </row>
    <row r="46" spans="1:21" s="57" customFormat="1" ht="16.5" customHeight="1" thickBot="1" x14ac:dyDescent="0.3">
      <c r="A46" s="59">
        <v>4</v>
      </c>
      <c r="B46" s="197" t="s">
        <v>341</v>
      </c>
      <c r="D46" s="117" t="s">
        <v>337</v>
      </c>
      <c r="F46" s="117" t="s">
        <v>333</v>
      </c>
      <c r="G46" s="65"/>
      <c r="H46" s="189">
        <v>45688</v>
      </c>
      <c r="I46" s="189">
        <v>45716</v>
      </c>
      <c r="J46" s="189">
        <v>45747</v>
      </c>
      <c r="K46" s="189">
        <v>45777</v>
      </c>
      <c r="L46" s="189">
        <v>45808</v>
      </c>
      <c r="M46" s="189">
        <v>45838</v>
      </c>
      <c r="N46" s="189">
        <v>45869</v>
      </c>
      <c r="O46" s="189">
        <v>45900</v>
      </c>
      <c r="P46" s="189">
        <v>45930</v>
      </c>
      <c r="Q46" s="189">
        <v>45961</v>
      </c>
      <c r="R46" s="189">
        <v>45991</v>
      </c>
      <c r="S46" s="189">
        <v>46022</v>
      </c>
      <c r="T46" s="174"/>
      <c r="U46" s="189" t="s">
        <v>10</v>
      </c>
    </row>
    <row r="47" spans="1:21" s="57" customFormat="1" ht="16.5" customHeight="1" x14ac:dyDescent="0.25">
      <c r="A47" s="59"/>
      <c r="G47" s="65"/>
      <c r="T47" s="174"/>
    </row>
    <row r="48" spans="1:21" s="57" customFormat="1" ht="16.5" customHeight="1" x14ac:dyDescent="0.25">
      <c r="A48" s="59"/>
      <c r="B48" s="60" t="s">
        <v>337</v>
      </c>
      <c r="D48" s="180">
        <v>5500000</v>
      </c>
      <c r="F48" s="181">
        <v>45657</v>
      </c>
      <c r="G48" s="65"/>
      <c r="H48" s="164">
        <v>0</v>
      </c>
      <c r="I48" s="164">
        <v>0</v>
      </c>
      <c r="J48" s="164">
        <v>0</v>
      </c>
      <c r="K48" s="164">
        <v>0</v>
      </c>
      <c r="L48" s="164">
        <v>0</v>
      </c>
      <c r="M48" s="164">
        <v>0</v>
      </c>
      <c r="N48" s="164">
        <v>0</v>
      </c>
      <c r="O48" s="164">
        <v>0</v>
      </c>
      <c r="P48" s="164">
        <v>0</v>
      </c>
      <c r="Q48" s="164">
        <v>0</v>
      </c>
      <c r="R48" s="164">
        <v>0</v>
      </c>
      <c r="S48" s="164">
        <v>0</v>
      </c>
      <c r="T48" s="174"/>
      <c r="U48" s="164">
        <f>SUM(H48:T48)</f>
        <v>0</v>
      </c>
    </row>
    <row r="49" spans="1:23" s="57" customFormat="1" ht="16.5" customHeight="1" x14ac:dyDescent="0.25">
      <c r="A49" s="59"/>
      <c r="D49" s="164"/>
      <c r="G49" s="65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74"/>
      <c r="U49" s="164"/>
    </row>
    <row r="50" spans="1:23" s="57" customFormat="1" ht="16.5" customHeight="1" x14ac:dyDescent="0.25">
      <c r="A50" s="59"/>
      <c r="B50" s="182" t="s">
        <v>387</v>
      </c>
      <c r="F50" s="186">
        <v>15</v>
      </c>
      <c r="G50" s="65"/>
      <c r="H50" s="93">
        <f>IF(EOMONTH($F51,-1)=H46,0.5,1)
*($D48/$F50/12)
*($F51&lt;=EOMONTH(H46,1))</f>
        <v>30555.555555555558</v>
      </c>
      <c r="I50" s="93">
        <f t="shared" ref="I50:S50" si="9">IF(EOMONTH($F51,-1)=I46,0.5,1)
*($D48/$F50/12)
*($F51&lt;=EOMONTH(I46,1))</f>
        <v>30555.555555555558</v>
      </c>
      <c r="J50" s="93">
        <f t="shared" si="9"/>
        <v>30555.555555555558</v>
      </c>
      <c r="K50" s="93">
        <f t="shared" si="9"/>
        <v>30555.555555555558</v>
      </c>
      <c r="L50" s="93">
        <f t="shared" si="9"/>
        <v>30555.555555555558</v>
      </c>
      <c r="M50" s="93">
        <f t="shared" si="9"/>
        <v>30555.555555555558</v>
      </c>
      <c r="N50" s="93">
        <f t="shared" si="9"/>
        <v>30555.555555555558</v>
      </c>
      <c r="O50" s="93">
        <f t="shared" si="9"/>
        <v>30555.555555555558</v>
      </c>
      <c r="P50" s="93">
        <f t="shared" si="9"/>
        <v>30555.555555555558</v>
      </c>
      <c r="Q50" s="93">
        <f t="shared" si="9"/>
        <v>30555.555555555558</v>
      </c>
      <c r="R50" s="93">
        <f t="shared" si="9"/>
        <v>30555.555555555558</v>
      </c>
      <c r="S50" s="93">
        <f t="shared" si="9"/>
        <v>30555.555555555558</v>
      </c>
      <c r="T50" s="174"/>
      <c r="U50" s="164">
        <f>SUM(H50:T50)</f>
        <v>366666.66666666669</v>
      </c>
    </row>
    <row r="51" spans="1:23" s="57" customFormat="1" ht="16.5" customHeight="1" thickBot="1" x14ac:dyDescent="0.3">
      <c r="A51" s="199"/>
      <c r="B51" s="190" t="s">
        <v>339</v>
      </c>
      <c r="C51" s="191"/>
      <c r="D51" s="191"/>
      <c r="E51" s="191"/>
      <c r="F51" s="192">
        <f>_xlfn.IFNA(INDEX(H46:T46,1,1),MAX(F48:F48))</f>
        <v>45688</v>
      </c>
      <c r="G51" s="193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4"/>
      <c r="U51" s="191"/>
    </row>
    <row r="52" spans="1:23" s="57" customFormat="1" ht="16.5" customHeight="1" x14ac:dyDescent="0.25">
      <c r="A52" s="59"/>
      <c r="B52" s="182"/>
      <c r="F52" s="187"/>
      <c r="G52" s="65"/>
      <c r="H52" s="164"/>
      <c r="I52" s="164"/>
      <c r="J52" s="164"/>
      <c r="K52" s="164"/>
      <c r="L52" s="164"/>
      <c r="M52" s="164"/>
      <c r="N52" s="164"/>
      <c r="O52" s="164"/>
      <c r="P52" s="164"/>
      <c r="Q52" s="164"/>
      <c r="R52" s="164"/>
      <c r="S52" s="164"/>
      <c r="T52" s="174"/>
    </row>
    <row r="53" spans="1:23" s="57" customFormat="1" ht="16.5" customHeight="1" x14ac:dyDescent="0.25">
      <c r="A53" s="59"/>
      <c r="F53" s="58"/>
      <c r="G53" s="65"/>
      <c r="T53" s="174"/>
    </row>
    <row r="54" spans="1:23" s="57" customFormat="1" ht="16.5" customHeight="1" thickBot="1" x14ac:dyDescent="0.3">
      <c r="A54" s="59"/>
      <c r="B54" s="71" t="s">
        <v>266</v>
      </c>
      <c r="C54" s="72"/>
      <c r="D54" s="73">
        <f>SUMIFS(D$11:D$53,$B$11:$B$53,$B54)</f>
        <v>1185000</v>
      </c>
      <c r="E54" s="72"/>
      <c r="F54" s="165"/>
      <c r="G54" s="162"/>
      <c r="H54" s="73">
        <f t="shared" ref="H54:S54" si="10">SUMIFS(H$11:H$53,$B$11:$B$53,$W54)</f>
        <v>0</v>
      </c>
      <c r="I54" s="73">
        <f t="shared" si="10"/>
        <v>80000</v>
      </c>
      <c r="J54" s="73">
        <f t="shared" si="10"/>
        <v>145000</v>
      </c>
      <c r="K54" s="73">
        <f t="shared" si="10"/>
        <v>600000</v>
      </c>
      <c r="L54" s="73">
        <f t="shared" si="10"/>
        <v>0</v>
      </c>
      <c r="M54" s="73">
        <f t="shared" si="10"/>
        <v>360000</v>
      </c>
      <c r="N54" s="73">
        <f t="shared" si="10"/>
        <v>0</v>
      </c>
      <c r="O54" s="73">
        <f t="shared" si="10"/>
        <v>0</v>
      </c>
      <c r="P54" s="73">
        <f t="shared" si="10"/>
        <v>0</v>
      </c>
      <c r="Q54" s="73">
        <f t="shared" si="10"/>
        <v>0</v>
      </c>
      <c r="R54" s="73">
        <f t="shared" si="10"/>
        <v>0</v>
      </c>
      <c r="S54" s="73">
        <f t="shared" si="10"/>
        <v>0</v>
      </c>
      <c r="T54" s="174"/>
      <c r="U54" s="165">
        <f>SUM(H54:T54)</f>
        <v>1185000</v>
      </c>
      <c r="W54" s="179" t="s">
        <v>334</v>
      </c>
    </row>
    <row r="55" spans="1:23" s="57" customFormat="1" ht="16.5" customHeight="1" x14ac:dyDescent="0.25">
      <c r="A55" s="59"/>
      <c r="F55" s="58"/>
      <c r="G55" s="65"/>
      <c r="T55" s="174"/>
    </row>
    <row r="56" spans="1:23" ht="15.75" thickBot="1" x14ac:dyDescent="0.3">
      <c r="B56" s="71" t="s">
        <v>338</v>
      </c>
      <c r="D56" s="73">
        <v>0</v>
      </c>
      <c r="E56" s="72"/>
      <c r="F56" s="165"/>
      <c r="G56" s="162"/>
      <c r="H56" s="73">
        <f t="shared" ref="H56:S56" si="11">SUMIFS(H$11:H$53,$B$11:$B$53,$W56)</f>
        <v>30555.555555555558</v>
      </c>
      <c r="I56" s="73">
        <f t="shared" si="11"/>
        <v>30555.555555555558</v>
      </c>
      <c r="J56" s="73">
        <f t="shared" si="11"/>
        <v>31061.50793650794</v>
      </c>
      <c r="K56" s="73">
        <f t="shared" si="11"/>
        <v>34067.460317460318</v>
      </c>
      <c r="L56" s="73">
        <f t="shared" si="11"/>
        <v>36567.460317460318</v>
      </c>
      <c r="M56" s="73">
        <f t="shared" si="11"/>
        <v>38789.682539682544</v>
      </c>
      <c r="N56" s="73">
        <f t="shared" si="11"/>
        <v>41011.904761904763</v>
      </c>
      <c r="O56" s="73">
        <f t="shared" si="11"/>
        <v>41011.904761904763</v>
      </c>
      <c r="P56" s="73">
        <f t="shared" si="11"/>
        <v>41011.904761904763</v>
      </c>
      <c r="Q56" s="73">
        <f t="shared" si="11"/>
        <v>41011.904761904763</v>
      </c>
      <c r="R56" s="73">
        <f t="shared" si="11"/>
        <v>41011.904761904763</v>
      </c>
      <c r="S56" s="73">
        <f t="shared" si="11"/>
        <v>41011.904761904763</v>
      </c>
      <c r="U56" s="165">
        <f>SUM(H56:T56)</f>
        <v>447668.65079365077</v>
      </c>
      <c r="W56" s="179" t="s">
        <v>340</v>
      </c>
    </row>
  </sheetData>
  <conditionalFormatting sqref="D17 D29 D41">
    <cfRule type="cellIs" dxfId="58" priority="1" operator="notEqual">
      <formula>0</formula>
    </cfRule>
  </conditionalFormatting>
  <dataValidations count="2">
    <dataValidation type="list" allowBlank="1" showInputMessage="1" showErrorMessage="1" sqref="F13:F15 F25:F27 F37:F39" xr:uid="{61105ECB-A4A8-4EFD-A9AD-D4322C1F585E}">
      <formula1>$H$10:$T$10</formula1>
    </dataValidation>
    <dataValidation type="list" allowBlank="1" showInputMessage="1" showErrorMessage="1" sqref="D6:D8" xr:uid="{979CDE6F-12BF-4F90-981B-79D29C23135D}">
      <formula1>"TRUE,FALSE"</formula1>
    </dataValidation>
  </dataValidations>
  <pageMargins left="0.7" right="0.7" top="0.75" bottom="0.75" header="0.3" footer="0.3"/>
  <ignoredErrors>
    <ignoredError sqref="D16 D28 D40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0F1F8-0F4B-4F1F-AF91-2D54AEAD1D7E}">
  <sheetPr codeName="Sheet12">
    <tabColor theme="4" tint="0.39997558519241921"/>
  </sheetPr>
  <dimension ref="A1:Q44"/>
  <sheetViews>
    <sheetView showGridLines="0" zoomScale="75" zoomScaleNormal="75" workbookViewId="0">
      <pane ySplit="6" topLeftCell="A7" activePane="bottomLeft" state="frozen"/>
      <selection pane="bottomLeft" activeCell="B1" sqref="B1"/>
    </sheetView>
  </sheetViews>
  <sheetFormatPr defaultRowHeight="15" x14ac:dyDescent="0.25"/>
  <cols>
    <col min="1" max="1" width="1.7109375" style="198" customWidth="1"/>
    <col min="2" max="2" width="23.7109375" customWidth="1"/>
    <col min="3" max="3" width="12.7109375" customWidth="1"/>
    <col min="4" max="4" width="1.5703125" customWidth="1"/>
    <col min="5" max="7" width="13.42578125" style="22" customWidth="1"/>
    <col min="8" max="8" width="1.5703125" style="22" customWidth="1"/>
    <col min="9" max="11" width="13.42578125" style="22" customWidth="1"/>
    <col min="12" max="12" width="13.42578125" customWidth="1"/>
    <col min="13" max="13" width="1.5703125" style="22" customWidth="1"/>
    <col min="14" max="15" width="13.42578125" customWidth="1"/>
    <col min="16" max="16" width="1.5703125" customWidth="1"/>
    <col min="17" max="17" width="13.42578125" customWidth="1"/>
  </cols>
  <sheetData>
    <row r="1" spans="1:17" ht="21" customHeight="1" x14ac:dyDescent="0.3">
      <c r="B1" s="17" t="str" cm="1">
        <f t="array" ref="B1">Company_Name</f>
        <v>Pinnacle Supplier DBA Candy Confection</v>
      </c>
    </row>
    <row r="2" spans="1:17" ht="16.5" customHeight="1" x14ac:dyDescent="0.25">
      <c r="B2" s="1" t="s">
        <v>389</v>
      </c>
    </row>
    <row r="3" spans="1:17" ht="16.5" customHeight="1" x14ac:dyDescent="0.25">
      <c r="B3" s="4" t="s">
        <v>243</v>
      </c>
    </row>
    <row r="4" spans="1:17" ht="15" customHeight="1" x14ac:dyDescent="0.25">
      <c r="B4" s="4"/>
      <c r="I4" s="59"/>
      <c r="L4" s="59"/>
    </row>
    <row r="5" spans="1:17" ht="15" customHeight="1" x14ac:dyDescent="0.25">
      <c r="B5" s="236" t="s">
        <v>407</v>
      </c>
      <c r="C5" s="237"/>
      <c r="E5" s="240"/>
      <c r="F5" s="241"/>
      <c r="G5" s="242" t="s">
        <v>335</v>
      </c>
      <c r="H5" s="59"/>
      <c r="I5" s="245" t="s">
        <v>399</v>
      </c>
      <c r="J5" s="246" t="s">
        <v>399</v>
      </c>
      <c r="K5" s="246" t="s">
        <v>399</v>
      </c>
      <c r="L5" s="247" t="s">
        <v>399</v>
      </c>
      <c r="N5" s="245" t="s">
        <v>404</v>
      </c>
      <c r="O5" s="247" t="s">
        <v>404</v>
      </c>
      <c r="Q5" s="250" t="s">
        <v>406</v>
      </c>
    </row>
    <row r="6" spans="1:17" s="4" customFormat="1" ht="15" customHeight="1" x14ac:dyDescent="0.2">
      <c r="A6" s="2"/>
      <c r="B6" s="238" t="s">
        <v>408</v>
      </c>
      <c r="C6" s="239"/>
      <c r="E6" s="243" t="s">
        <v>396</v>
      </c>
      <c r="F6" s="232" t="s">
        <v>397</v>
      </c>
      <c r="G6" s="244" t="s">
        <v>402</v>
      </c>
      <c r="I6" s="248" t="s">
        <v>398</v>
      </c>
      <c r="J6" s="233" t="s">
        <v>401</v>
      </c>
      <c r="K6" s="233" t="s">
        <v>400</v>
      </c>
      <c r="L6" s="249" t="s">
        <v>403</v>
      </c>
      <c r="M6" s="5"/>
      <c r="N6" s="248" t="s">
        <v>405</v>
      </c>
      <c r="O6" s="249" t="s">
        <v>400</v>
      </c>
      <c r="Q6" s="251" t="s">
        <v>335</v>
      </c>
    </row>
    <row r="7" spans="1:17" s="57" customFormat="1" ht="15" customHeight="1" x14ac:dyDescent="0.2">
      <c r="A7" s="4"/>
      <c r="B7" s="206" t="s">
        <v>390</v>
      </c>
      <c r="C7" s="331">
        <f>Assumptions!C14</f>
        <v>1185000</v>
      </c>
      <c r="D7" s="4"/>
      <c r="E7" s="5">
        <v>1</v>
      </c>
      <c r="F7" s="6">
        <f>EOMONTH($C$9,E7-1)</f>
        <v>45688</v>
      </c>
      <c r="G7" s="5" t="b">
        <f t="shared" ref="G7:G42" si="0">MOD(E7,3)=0</f>
        <v>0</v>
      </c>
      <c r="H7" s="4"/>
      <c r="I7" s="230">
        <f>C7</f>
        <v>1185000</v>
      </c>
      <c r="J7" s="230">
        <f t="shared" ref="J7:J42" si="1">-PPMT(($C$10/$C$11),$E7,$C$8*$C$11,-$C$7)</f>
        <v>-30578.013069028591</v>
      </c>
      <c r="K7" s="231">
        <f t="shared" ref="K7:K42" si="2">SUM(J5:J7) * G7</f>
        <v>0</v>
      </c>
      <c r="L7" s="230">
        <f>I7+K7</f>
        <v>1185000</v>
      </c>
      <c r="N7" s="230">
        <f t="shared" ref="N7:N42" si="3">-IPMT(($C$10/$C$11),$E7,$C$8*$C$11,-$C$7)</f>
        <v>-4937.5</v>
      </c>
      <c r="O7" s="231">
        <f>SUM(N5:N7) * G7</f>
        <v>0</v>
      </c>
      <c r="P7" s="4"/>
      <c r="Q7" s="231">
        <f>K7+O7</f>
        <v>0</v>
      </c>
    </row>
    <row r="8" spans="1:17" s="57" customFormat="1" ht="15" customHeight="1" x14ac:dyDescent="0.2">
      <c r="A8" s="59"/>
      <c r="B8" s="206" t="s">
        <v>391</v>
      </c>
      <c r="C8" s="222">
        <v>3</v>
      </c>
      <c r="E8" s="5">
        <f>E7+1</f>
        <v>2</v>
      </c>
      <c r="F8" s="6">
        <f t="shared" ref="F8:F42" si="4">EOMONTH($C$9,E8-1)</f>
        <v>45716</v>
      </c>
      <c r="G8" s="5" t="b">
        <f t="shared" si="0"/>
        <v>0</v>
      </c>
      <c r="H8" s="5"/>
      <c r="I8" s="230">
        <f>L7</f>
        <v>1185000</v>
      </c>
      <c r="J8" s="230">
        <f t="shared" si="1"/>
        <v>-30705.42145681621</v>
      </c>
      <c r="K8" s="231">
        <f t="shared" si="2"/>
        <v>0</v>
      </c>
      <c r="L8" s="230">
        <f>I8+K8</f>
        <v>1185000</v>
      </c>
      <c r="N8" s="230">
        <f t="shared" si="3"/>
        <v>-4810.0916122123808</v>
      </c>
      <c r="O8" s="231">
        <f t="shared" ref="O8:O42" si="5">SUM(N6:N8) * G8</f>
        <v>0</v>
      </c>
      <c r="Q8" s="231">
        <f t="shared" ref="Q8:Q42" si="6">K8+O8</f>
        <v>0</v>
      </c>
    </row>
    <row r="9" spans="1:17" s="4" customFormat="1" ht="15" customHeight="1" x14ac:dyDescent="0.2">
      <c r="A9" s="2"/>
      <c r="B9" s="206" t="s">
        <v>392</v>
      </c>
      <c r="C9" s="223">
        <v>45688</v>
      </c>
      <c r="E9" s="5">
        <f t="shared" ref="E9:E42" si="7">E8+1</f>
        <v>3</v>
      </c>
      <c r="F9" s="6">
        <f t="shared" si="4"/>
        <v>45747</v>
      </c>
      <c r="G9" s="5" t="b">
        <f t="shared" si="0"/>
        <v>1</v>
      </c>
      <c r="H9" s="5"/>
      <c r="I9" s="230">
        <f t="shared" ref="I9:I42" si="8">L8</f>
        <v>1185000</v>
      </c>
      <c r="J9" s="230">
        <f t="shared" si="1"/>
        <v>-30833.360712886279</v>
      </c>
      <c r="K9" s="231">
        <f t="shared" si="2"/>
        <v>-92116.79523873108</v>
      </c>
      <c r="L9" s="230">
        <f t="shared" ref="L9:L42" si="9">I9+K9</f>
        <v>1092883.204761269</v>
      </c>
      <c r="N9" s="230">
        <f t="shared" si="3"/>
        <v>-4682.1523561423146</v>
      </c>
      <c r="O9" s="231">
        <f t="shared" si="5"/>
        <v>-14429.743968354696</v>
      </c>
      <c r="Q9" s="231">
        <f t="shared" si="6"/>
        <v>-106546.53920708578</v>
      </c>
    </row>
    <row r="10" spans="1:17" s="4" customFormat="1" ht="15" customHeight="1" x14ac:dyDescent="0.2">
      <c r="A10" s="2"/>
      <c r="B10" s="206" t="s">
        <v>393</v>
      </c>
      <c r="C10" s="224">
        <v>0.05</v>
      </c>
      <c r="E10" s="5">
        <f t="shared" si="7"/>
        <v>4</v>
      </c>
      <c r="F10" s="6">
        <f t="shared" si="4"/>
        <v>45777</v>
      </c>
      <c r="G10" s="5" t="b">
        <f t="shared" si="0"/>
        <v>0</v>
      </c>
      <c r="H10" s="5"/>
      <c r="I10" s="230">
        <f t="shared" si="8"/>
        <v>1092883.204761269</v>
      </c>
      <c r="J10" s="230">
        <f t="shared" si="1"/>
        <v>-30961.833049189969</v>
      </c>
      <c r="K10" s="231">
        <f t="shared" si="2"/>
        <v>0</v>
      </c>
      <c r="L10" s="230">
        <f t="shared" si="9"/>
        <v>1092883.204761269</v>
      </c>
      <c r="N10" s="230">
        <f t="shared" si="3"/>
        <v>-4553.6800198386209</v>
      </c>
      <c r="O10" s="231">
        <f t="shared" si="5"/>
        <v>0</v>
      </c>
      <c r="Q10" s="231">
        <f t="shared" si="6"/>
        <v>0</v>
      </c>
    </row>
    <row r="11" spans="1:17" s="4" customFormat="1" ht="15" customHeight="1" x14ac:dyDescent="0.2">
      <c r="A11" s="2"/>
      <c r="B11" s="206" t="s">
        <v>394</v>
      </c>
      <c r="C11" s="222">
        <v>12</v>
      </c>
      <c r="E11" s="5">
        <f t="shared" si="7"/>
        <v>5</v>
      </c>
      <c r="F11" s="6">
        <f t="shared" si="4"/>
        <v>45808</v>
      </c>
      <c r="G11" s="5" t="b">
        <f t="shared" si="0"/>
        <v>0</v>
      </c>
      <c r="H11" s="5"/>
      <c r="I11" s="230">
        <f t="shared" si="8"/>
        <v>1092883.204761269</v>
      </c>
      <c r="J11" s="230">
        <f t="shared" si="1"/>
        <v>-31090.840686894935</v>
      </c>
      <c r="K11" s="231">
        <f t="shared" si="2"/>
        <v>0</v>
      </c>
      <c r="L11" s="230">
        <f t="shared" si="9"/>
        <v>1092883.204761269</v>
      </c>
      <c r="N11" s="230">
        <f t="shared" si="3"/>
        <v>-4424.6723821336627</v>
      </c>
      <c r="O11" s="231">
        <f t="shared" si="5"/>
        <v>0</v>
      </c>
      <c r="Q11" s="231">
        <f t="shared" si="6"/>
        <v>0</v>
      </c>
    </row>
    <row r="12" spans="1:17" s="4" customFormat="1" ht="15" customHeight="1" x14ac:dyDescent="0.2">
      <c r="A12" s="2"/>
      <c r="B12" s="225" t="s">
        <v>395</v>
      </c>
      <c r="C12" s="226">
        <f>PMT((C10/C11),C8*C11,-C7)</f>
        <v>35515.513069028595</v>
      </c>
      <c r="E12" s="5">
        <f t="shared" si="7"/>
        <v>6</v>
      </c>
      <c r="F12" s="6">
        <f t="shared" si="4"/>
        <v>45838</v>
      </c>
      <c r="G12" s="5" t="b">
        <f t="shared" si="0"/>
        <v>1</v>
      </c>
      <c r="H12" s="5"/>
      <c r="I12" s="230">
        <f t="shared" si="8"/>
        <v>1092883.204761269</v>
      </c>
      <c r="J12" s="230">
        <f t="shared" si="1"/>
        <v>-31220.385856423658</v>
      </c>
      <c r="K12" s="231">
        <f t="shared" si="2"/>
        <v>-93273.059592508565</v>
      </c>
      <c r="L12" s="230">
        <f t="shared" si="9"/>
        <v>999610.14516876044</v>
      </c>
      <c r="N12" s="230">
        <f t="shared" si="3"/>
        <v>-4295.1272126049353</v>
      </c>
      <c r="O12" s="231">
        <f t="shared" si="5"/>
        <v>-13273.479614577218</v>
      </c>
      <c r="Q12" s="231">
        <f t="shared" si="6"/>
        <v>-106546.53920708578</v>
      </c>
    </row>
    <row r="13" spans="1:17" s="4" customFormat="1" ht="15" customHeight="1" x14ac:dyDescent="0.2">
      <c r="A13" s="2"/>
      <c r="E13" s="5">
        <f t="shared" si="7"/>
        <v>7</v>
      </c>
      <c r="F13" s="6">
        <f t="shared" si="4"/>
        <v>45869</v>
      </c>
      <c r="G13" s="5" t="b">
        <f t="shared" si="0"/>
        <v>0</v>
      </c>
      <c r="H13" s="5"/>
      <c r="I13" s="230">
        <f t="shared" si="8"/>
        <v>999610.14516876044</v>
      </c>
      <c r="J13" s="230">
        <f t="shared" si="1"/>
        <v>-31350.470797492089</v>
      </c>
      <c r="K13" s="231">
        <f t="shared" si="2"/>
        <v>0</v>
      </c>
      <c r="L13" s="230">
        <f t="shared" si="9"/>
        <v>999610.14516876044</v>
      </c>
      <c r="N13" s="230">
        <f t="shared" si="3"/>
        <v>-4165.0422715365021</v>
      </c>
      <c r="O13" s="231">
        <f t="shared" si="5"/>
        <v>0</v>
      </c>
      <c r="Q13" s="231">
        <f t="shared" si="6"/>
        <v>0</v>
      </c>
    </row>
    <row r="14" spans="1:17" s="4" customFormat="1" ht="15" customHeight="1" x14ac:dyDescent="0.2">
      <c r="A14" s="2"/>
      <c r="E14" s="5">
        <f t="shared" si="7"/>
        <v>8</v>
      </c>
      <c r="F14" s="6">
        <f t="shared" si="4"/>
        <v>45900</v>
      </c>
      <c r="G14" s="5" t="b">
        <f t="shared" si="0"/>
        <v>0</v>
      </c>
      <c r="H14" s="5"/>
      <c r="I14" s="230">
        <f t="shared" si="8"/>
        <v>999610.14516876044</v>
      </c>
      <c r="J14" s="230">
        <f t="shared" si="1"/>
        <v>-31481.09775914831</v>
      </c>
      <c r="K14" s="231">
        <f t="shared" si="2"/>
        <v>0</v>
      </c>
      <c r="L14" s="230">
        <f t="shared" si="9"/>
        <v>999610.14516876044</v>
      </c>
      <c r="N14" s="230">
        <f t="shared" si="3"/>
        <v>-4034.4153098802858</v>
      </c>
      <c r="O14" s="231">
        <f t="shared" si="5"/>
        <v>0</v>
      </c>
      <c r="Q14" s="231">
        <f t="shared" si="6"/>
        <v>0</v>
      </c>
    </row>
    <row r="15" spans="1:17" x14ac:dyDescent="0.25">
      <c r="E15" s="5">
        <f t="shared" si="7"/>
        <v>9</v>
      </c>
      <c r="F15" s="6">
        <f t="shared" si="4"/>
        <v>45930</v>
      </c>
      <c r="G15" s="5" t="b">
        <f t="shared" si="0"/>
        <v>1</v>
      </c>
      <c r="H15" s="5"/>
      <c r="I15" s="230">
        <f t="shared" si="8"/>
        <v>999610.14516876044</v>
      </c>
      <c r="J15" s="230">
        <f t="shared" si="1"/>
        <v>-31612.268999811426</v>
      </c>
      <c r="K15" s="231">
        <f t="shared" si="2"/>
        <v>-94443.837556451821</v>
      </c>
      <c r="L15" s="230">
        <f t="shared" si="9"/>
        <v>905166.30761230865</v>
      </c>
      <c r="N15" s="230">
        <f t="shared" si="3"/>
        <v>-3903.2440692171676</v>
      </c>
      <c r="O15" s="231">
        <f t="shared" si="5"/>
        <v>-12102.701650633955</v>
      </c>
      <c r="Q15" s="231">
        <f t="shared" si="6"/>
        <v>-106546.53920708578</v>
      </c>
    </row>
    <row r="16" spans="1:17" x14ac:dyDescent="0.25">
      <c r="E16" s="5">
        <f t="shared" si="7"/>
        <v>10</v>
      </c>
      <c r="F16" s="6">
        <f t="shared" si="4"/>
        <v>45961</v>
      </c>
      <c r="G16" s="5" t="b">
        <f t="shared" si="0"/>
        <v>0</v>
      </c>
      <c r="H16" s="5"/>
      <c r="I16" s="230">
        <f t="shared" si="8"/>
        <v>905166.30761230865</v>
      </c>
      <c r="J16" s="230">
        <f t="shared" si="1"/>
        <v>-31743.986787310641</v>
      </c>
      <c r="K16" s="231">
        <f t="shared" si="2"/>
        <v>0</v>
      </c>
      <c r="L16" s="230">
        <f t="shared" si="9"/>
        <v>905166.30761230865</v>
      </c>
      <c r="N16" s="230">
        <f t="shared" si="3"/>
        <v>-3771.5262817179532</v>
      </c>
      <c r="O16" s="231">
        <f t="shared" si="5"/>
        <v>0</v>
      </c>
      <c r="Q16" s="231">
        <f t="shared" si="6"/>
        <v>0</v>
      </c>
    </row>
    <row r="17" spans="5:17" x14ac:dyDescent="0.25">
      <c r="E17" s="5">
        <f t="shared" si="7"/>
        <v>11</v>
      </c>
      <c r="F17" s="6">
        <f t="shared" si="4"/>
        <v>45991</v>
      </c>
      <c r="G17" s="5" t="b">
        <f t="shared" si="0"/>
        <v>0</v>
      </c>
      <c r="H17" s="5"/>
      <c r="I17" s="230">
        <f t="shared" si="8"/>
        <v>905166.30761230865</v>
      </c>
      <c r="J17" s="230">
        <f t="shared" si="1"/>
        <v>-31876.253398924433</v>
      </c>
      <c r="K17" s="231">
        <f t="shared" si="2"/>
        <v>0</v>
      </c>
      <c r="L17" s="230">
        <f t="shared" si="9"/>
        <v>905166.30761230865</v>
      </c>
      <c r="N17" s="230">
        <f t="shared" si="3"/>
        <v>-3639.2596701041584</v>
      </c>
      <c r="O17" s="231">
        <f t="shared" si="5"/>
        <v>0</v>
      </c>
      <c r="Q17" s="231">
        <f t="shared" si="6"/>
        <v>0</v>
      </c>
    </row>
    <row r="18" spans="5:17" x14ac:dyDescent="0.25">
      <c r="E18" s="5">
        <f t="shared" si="7"/>
        <v>12</v>
      </c>
      <c r="F18" s="6">
        <f t="shared" si="4"/>
        <v>46022</v>
      </c>
      <c r="G18" s="5" t="b">
        <f t="shared" si="0"/>
        <v>1</v>
      </c>
      <c r="H18" s="5"/>
      <c r="I18" s="230">
        <f t="shared" si="8"/>
        <v>905166.30761230865</v>
      </c>
      <c r="J18" s="230">
        <f t="shared" si="1"/>
        <v>-32009.071121419955</v>
      </c>
      <c r="K18" s="231">
        <f t="shared" si="2"/>
        <v>-95629.311307655036</v>
      </c>
      <c r="L18" s="230">
        <f t="shared" si="9"/>
        <v>809536.99630465358</v>
      </c>
      <c r="N18" s="230">
        <f t="shared" si="3"/>
        <v>-3506.4419476086409</v>
      </c>
      <c r="O18" s="231">
        <f t="shared" si="5"/>
        <v>-10917.227899430753</v>
      </c>
      <c r="Q18" s="231">
        <f t="shared" si="6"/>
        <v>-106546.53920708579</v>
      </c>
    </row>
    <row r="19" spans="5:17" x14ac:dyDescent="0.25">
      <c r="E19" s="5">
        <f t="shared" si="7"/>
        <v>13</v>
      </c>
      <c r="F19" s="6">
        <f t="shared" si="4"/>
        <v>46053</v>
      </c>
      <c r="G19" s="5" t="b">
        <f t="shared" si="0"/>
        <v>0</v>
      </c>
      <c r="H19" s="5"/>
      <c r="I19" s="230">
        <f t="shared" si="8"/>
        <v>809536.99630465358</v>
      </c>
      <c r="J19" s="230">
        <f t="shared" si="1"/>
        <v>-32142.442251092536</v>
      </c>
      <c r="K19" s="231">
        <f t="shared" si="2"/>
        <v>0</v>
      </c>
      <c r="L19" s="230">
        <f t="shared" si="9"/>
        <v>809536.99630465358</v>
      </c>
      <c r="N19" s="230">
        <f t="shared" si="3"/>
        <v>-3373.0708179360577</v>
      </c>
      <c r="O19" s="231">
        <f t="shared" si="5"/>
        <v>0</v>
      </c>
      <c r="Q19" s="231">
        <f t="shared" si="6"/>
        <v>0</v>
      </c>
    </row>
    <row r="20" spans="5:17" x14ac:dyDescent="0.25">
      <c r="E20" s="5">
        <f t="shared" si="7"/>
        <v>14</v>
      </c>
      <c r="F20" s="6">
        <f t="shared" si="4"/>
        <v>46081</v>
      </c>
      <c r="G20" s="5" t="b">
        <f t="shared" si="0"/>
        <v>0</v>
      </c>
      <c r="H20" s="5"/>
      <c r="I20" s="230">
        <f t="shared" si="8"/>
        <v>809536.99630465358</v>
      </c>
      <c r="J20" s="230">
        <f t="shared" si="1"/>
        <v>-32276.369093805421</v>
      </c>
      <c r="K20" s="231">
        <f t="shared" si="2"/>
        <v>0</v>
      </c>
      <c r="L20" s="230">
        <f t="shared" si="9"/>
        <v>809536.99630465358</v>
      </c>
      <c r="N20" s="230">
        <f t="shared" si="3"/>
        <v>-3239.1439752231718</v>
      </c>
      <c r="O20" s="231">
        <f t="shared" si="5"/>
        <v>0</v>
      </c>
      <c r="Q20" s="231">
        <f t="shared" si="6"/>
        <v>0</v>
      </c>
    </row>
    <row r="21" spans="5:17" x14ac:dyDescent="0.25">
      <c r="E21" s="5">
        <f t="shared" si="7"/>
        <v>15</v>
      </c>
      <c r="F21" s="6">
        <f t="shared" si="4"/>
        <v>46112</v>
      </c>
      <c r="G21" s="5" t="b">
        <f t="shared" si="0"/>
        <v>1</v>
      </c>
      <c r="H21" s="5"/>
      <c r="I21" s="230">
        <f t="shared" si="8"/>
        <v>809536.99630465358</v>
      </c>
      <c r="J21" s="230">
        <f t="shared" si="1"/>
        <v>-32410.853965029612</v>
      </c>
      <c r="K21" s="231">
        <f t="shared" si="2"/>
        <v>-96829.665309927572</v>
      </c>
      <c r="L21" s="230">
        <f t="shared" si="9"/>
        <v>712707.33099472604</v>
      </c>
      <c r="N21" s="230">
        <f t="shared" si="3"/>
        <v>-3104.6591039989826</v>
      </c>
      <c r="O21" s="231">
        <f t="shared" si="5"/>
        <v>-9716.8738971582134</v>
      </c>
      <c r="Q21" s="231">
        <f t="shared" si="6"/>
        <v>-106546.53920708579</v>
      </c>
    </row>
    <row r="22" spans="5:17" x14ac:dyDescent="0.25">
      <c r="E22" s="5">
        <f t="shared" si="7"/>
        <v>16</v>
      </c>
      <c r="F22" s="6">
        <f t="shared" si="4"/>
        <v>46142</v>
      </c>
      <c r="G22" s="5" t="b">
        <f t="shared" si="0"/>
        <v>0</v>
      </c>
      <c r="H22" s="5"/>
      <c r="I22" s="230">
        <f t="shared" si="8"/>
        <v>712707.33099472604</v>
      </c>
      <c r="J22" s="230">
        <f t="shared" si="1"/>
        <v>-32545.899189883901</v>
      </c>
      <c r="K22" s="231">
        <f t="shared" si="2"/>
        <v>0</v>
      </c>
      <c r="L22" s="230">
        <f t="shared" si="9"/>
        <v>712707.33099472604</v>
      </c>
      <c r="N22" s="230">
        <f t="shared" si="3"/>
        <v>-2969.6138791446929</v>
      </c>
      <c r="O22" s="231">
        <f t="shared" si="5"/>
        <v>0</v>
      </c>
      <c r="Q22" s="231">
        <f t="shared" si="6"/>
        <v>0</v>
      </c>
    </row>
    <row r="23" spans="5:17" x14ac:dyDescent="0.25">
      <c r="E23" s="5">
        <f t="shared" si="7"/>
        <v>17</v>
      </c>
      <c r="F23" s="6">
        <f t="shared" si="4"/>
        <v>46173</v>
      </c>
      <c r="G23" s="5" t="b">
        <f t="shared" si="0"/>
        <v>0</v>
      </c>
      <c r="H23" s="5"/>
      <c r="I23" s="230">
        <f t="shared" si="8"/>
        <v>712707.33099472604</v>
      </c>
      <c r="J23" s="230">
        <f t="shared" si="1"/>
        <v>-32681.507103175085</v>
      </c>
      <c r="K23" s="231">
        <f t="shared" si="2"/>
        <v>0</v>
      </c>
      <c r="L23" s="230">
        <f t="shared" si="9"/>
        <v>712707.33099472604</v>
      </c>
      <c r="N23" s="230">
        <f t="shared" si="3"/>
        <v>-2834.0059658535097</v>
      </c>
      <c r="O23" s="231">
        <f t="shared" si="5"/>
        <v>0</v>
      </c>
      <c r="Q23" s="231">
        <f t="shared" si="6"/>
        <v>0</v>
      </c>
    </row>
    <row r="24" spans="5:17" x14ac:dyDescent="0.25">
      <c r="E24" s="5">
        <f t="shared" si="7"/>
        <v>18</v>
      </c>
      <c r="F24" s="6">
        <f t="shared" si="4"/>
        <v>46203</v>
      </c>
      <c r="G24" s="5" t="b">
        <f t="shared" si="0"/>
        <v>1</v>
      </c>
      <c r="H24" s="5"/>
      <c r="I24" s="230">
        <f t="shared" si="8"/>
        <v>712707.33099472604</v>
      </c>
      <c r="J24" s="230">
        <f t="shared" si="1"/>
        <v>-32817.680049438313</v>
      </c>
      <c r="K24" s="231">
        <f t="shared" si="2"/>
        <v>-98045.086342497292</v>
      </c>
      <c r="L24" s="230">
        <f t="shared" si="9"/>
        <v>614662.24465222878</v>
      </c>
      <c r="N24" s="230">
        <f t="shared" si="3"/>
        <v>-2697.8330195902804</v>
      </c>
      <c r="O24" s="231">
        <f t="shared" si="5"/>
        <v>-8501.452864588482</v>
      </c>
      <c r="Q24" s="231">
        <f t="shared" si="6"/>
        <v>-106546.53920708578</v>
      </c>
    </row>
    <row r="25" spans="5:17" x14ac:dyDescent="0.25">
      <c r="E25" s="5">
        <f t="shared" si="7"/>
        <v>19</v>
      </c>
      <c r="F25" s="6">
        <f t="shared" si="4"/>
        <v>46234</v>
      </c>
      <c r="G25" s="5" t="b">
        <f t="shared" si="0"/>
        <v>0</v>
      </c>
      <c r="H25" s="5"/>
      <c r="I25" s="230">
        <f t="shared" si="8"/>
        <v>614662.24465222878</v>
      </c>
      <c r="J25" s="230">
        <f t="shared" si="1"/>
        <v>-32954.420382977638</v>
      </c>
      <c r="K25" s="231">
        <f t="shared" si="2"/>
        <v>0</v>
      </c>
      <c r="L25" s="230">
        <f t="shared" si="9"/>
        <v>614662.24465222878</v>
      </c>
      <c r="N25" s="230">
        <f t="shared" si="3"/>
        <v>-2561.0926860509535</v>
      </c>
      <c r="O25" s="231">
        <f t="shared" si="5"/>
        <v>0</v>
      </c>
      <c r="Q25" s="231">
        <f t="shared" si="6"/>
        <v>0</v>
      </c>
    </row>
    <row r="26" spans="5:17" x14ac:dyDescent="0.25">
      <c r="E26" s="5">
        <f t="shared" si="7"/>
        <v>20</v>
      </c>
      <c r="F26" s="6">
        <f t="shared" si="4"/>
        <v>46265</v>
      </c>
      <c r="G26" s="5" t="b">
        <f t="shared" si="0"/>
        <v>0</v>
      </c>
      <c r="H26" s="5"/>
      <c r="I26" s="230">
        <f t="shared" si="8"/>
        <v>614662.24465222878</v>
      </c>
      <c r="J26" s="230">
        <f t="shared" si="1"/>
        <v>-33091.730467906717</v>
      </c>
      <c r="K26" s="231">
        <f t="shared" si="2"/>
        <v>0</v>
      </c>
      <c r="L26" s="230">
        <f t="shared" si="9"/>
        <v>614662.24465222878</v>
      </c>
      <c r="N26" s="230">
        <f t="shared" si="3"/>
        <v>-2423.7826011218804</v>
      </c>
      <c r="O26" s="231">
        <f t="shared" si="5"/>
        <v>0</v>
      </c>
      <c r="Q26" s="231">
        <f t="shared" si="6"/>
        <v>0</v>
      </c>
    </row>
    <row r="27" spans="5:17" x14ac:dyDescent="0.25">
      <c r="E27" s="5">
        <f t="shared" si="7"/>
        <v>21</v>
      </c>
      <c r="F27" s="6">
        <f t="shared" si="4"/>
        <v>46295</v>
      </c>
      <c r="G27" s="5" t="b">
        <f t="shared" si="0"/>
        <v>1</v>
      </c>
      <c r="H27" s="5"/>
      <c r="I27" s="230">
        <f t="shared" si="8"/>
        <v>614662.24465222878</v>
      </c>
      <c r="J27" s="230">
        <f t="shared" si="1"/>
        <v>-33229.61267818966</v>
      </c>
      <c r="K27" s="231">
        <f t="shared" si="2"/>
        <v>-99275.763529074015</v>
      </c>
      <c r="L27" s="230">
        <f t="shared" si="9"/>
        <v>515386.48112315475</v>
      </c>
      <c r="N27" s="230">
        <f t="shared" si="3"/>
        <v>-2285.9003908389359</v>
      </c>
      <c r="O27" s="231">
        <f t="shared" si="5"/>
        <v>-7270.7756780117697</v>
      </c>
      <c r="Q27" s="231">
        <f t="shared" si="6"/>
        <v>-106546.53920708578</v>
      </c>
    </row>
    <row r="28" spans="5:17" x14ac:dyDescent="0.25">
      <c r="E28" s="5">
        <f t="shared" si="7"/>
        <v>22</v>
      </c>
      <c r="F28" s="6">
        <f t="shared" si="4"/>
        <v>46326</v>
      </c>
      <c r="G28" s="5" t="b">
        <f t="shared" si="0"/>
        <v>0</v>
      </c>
      <c r="H28" s="5"/>
      <c r="I28" s="230">
        <f t="shared" si="8"/>
        <v>515386.48112315475</v>
      </c>
      <c r="J28" s="230">
        <f t="shared" si="1"/>
        <v>-33368.069397682113</v>
      </c>
      <c r="K28" s="231">
        <f t="shared" si="2"/>
        <v>0</v>
      </c>
      <c r="L28" s="230">
        <f t="shared" si="9"/>
        <v>515386.48112315475</v>
      </c>
      <c r="N28" s="230">
        <f t="shared" si="3"/>
        <v>-2147.4436713464788</v>
      </c>
      <c r="O28" s="231">
        <f t="shared" si="5"/>
        <v>0</v>
      </c>
      <c r="Q28" s="231">
        <f t="shared" si="6"/>
        <v>0</v>
      </c>
    </row>
    <row r="29" spans="5:17" x14ac:dyDescent="0.25">
      <c r="E29" s="5">
        <f t="shared" si="7"/>
        <v>23</v>
      </c>
      <c r="F29" s="6">
        <f t="shared" si="4"/>
        <v>46356</v>
      </c>
      <c r="G29" s="5" t="b">
        <f t="shared" si="0"/>
        <v>0</v>
      </c>
      <c r="H29" s="5"/>
      <c r="I29" s="230">
        <f t="shared" si="8"/>
        <v>515386.48112315475</v>
      </c>
      <c r="J29" s="230">
        <f t="shared" si="1"/>
        <v>-33507.103020172457</v>
      </c>
      <c r="K29" s="231">
        <f t="shared" si="2"/>
        <v>0</v>
      </c>
      <c r="L29" s="230">
        <f t="shared" si="9"/>
        <v>515386.48112315475</v>
      </c>
      <c r="N29" s="230">
        <f t="shared" si="3"/>
        <v>-2008.4100488561371</v>
      </c>
      <c r="O29" s="231">
        <f t="shared" si="5"/>
        <v>0</v>
      </c>
      <c r="Q29" s="231">
        <f t="shared" si="6"/>
        <v>0</v>
      </c>
    </row>
    <row r="30" spans="5:17" x14ac:dyDescent="0.25">
      <c r="E30" s="5">
        <f t="shared" si="7"/>
        <v>24</v>
      </c>
      <c r="F30" s="6">
        <f t="shared" si="4"/>
        <v>46387</v>
      </c>
      <c r="G30" s="5" t="b">
        <f t="shared" si="0"/>
        <v>1</v>
      </c>
      <c r="H30" s="5"/>
      <c r="I30" s="230">
        <f t="shared" si="8"/>
        <v>515386.48112315475</v>
      </c>
      <c r="J30" s="230">
        <f t="shared" si="1"/>
        <v>-33646.715949423175</v>
      </c>
      <c r="K30" s="231">
        <f t="shared" si="2"/>
        <v>-100521.88836727774</v>
      </c>
      <c r="L30" s="230">
        <f t="shared" si="9"/>
        <v>414864.59275587701</v>
      </c>
      <c r="N30" s="230">
        <f t="shared" si="3"/>
        <v>-1868.7971196054182</v>
      </c>
      <c r="O30" s="231">
        <f t="shared" si="5"/>
        <v>-6024.650839808035</v>
      </c>
      <c r="Q30" s="231">
        <f t="shared" si="6"/>
        <v>-106546.53920708578</v>
      </c>
    </row>
    <row r="31" spans="5:17" x14ac:dyDescent="0.25">
      <c r="E31" s="5">
        <f t="shared" si="7"/>
        <v>25</v>
      </c>
      <c r="F31" s="6">
        <f t="shared" si="4"/>
        <v>46418</v>
      </c>
      <c r="G31" s="5" t="b">
        <f t="shared" si="0"/>
        <v>0</v>
      </c>
      <c r="H31" s="5"/>
      <c r="I31" s="230">
        <f t="shared" si="8"/>
        <v>414864.59275587701</v>
      </c>
      <c r="J31" s="230">
        <f t="shared" si="1"/>
        <v>-33786.910599212439</v>
      </c>
      <c r="K31" s="231">
        <f t="shared" si="2"/>
        <v>0</v>
      </c>
      <c r="L31" s="230">
        <f t="shared" si="9"/>
        <v>414864.59275587701</v>
      </c>
      <c r="N31" s="230">
        <f t="shared" si="3"/>
        <v>-1728.6024698161552</v>
      </c>
      <c r="O31" s="231">
        <f t="shared" si="5"/>
        <v>0</v>
      </c>
      <c r="Q31" s="231">
        <f t="shared" si="6"/>
        <v>0</v>
      </c>
    </row>
    <row r="32" spans="5:17" x14ac:dyDescent="0.25">
      <c r="E32" s="5">
        <f t="shared" si="7"/>
        <v>26</v>
      </c>
      <c r="F32" s="6">
        <f t="shared" si="4"/>
        <v>46446</v>
      </c>
      <c r="G32" s="5" t="b">
        <f t="shared" si="0"/>
        <v>0</v>
      </c>
      <c r="H32" s="5"/>
      <c r="I32" s="230">
        <f t="shared" si="8"/>
        <v>414864.59275587701</v>
      </c>
      <c r="J32" s="230">
        <f t="shared" si="1"/>
        <v>-33927.689393375826</v>
      </c>
      <c r="K32" s="231">
        <f t="shared" si="2"/>
        <v>0</v>
      </c>
      <c r="L32" s="230">
        <f t="shared" si="9"/>
        <v>414864.59275587701</v>
      </c>
      <c r="N32" s="230">
        <f t="shared" si="3"/>
        <v>-1587.8236756527701</v>
      </c>
      <c r="O32" s="231">
        <f t="shared" si="5"/>
        <v>0</v>
      </c>
      <c r="Q32" s="231">
        <f t="shared" si="6"/>
        <v>0</v>
      </c>
    </row>
    <row r="33" spans="5:17" x14ac:dyDescent="0.25">
      <c r="E33" s="5">
        <f t="shared" si="7"/>
        <v>27</v>
      </c>
      <c r="F33" s="6">
        <f t="shared" si="4"/>
        <v>46477</v>
      </c>
      <c r="G33" s="5" t="b">
        <f t="shared" si="0"/>
        <v>1</v>
      </c>
      <c r="H33" s="5"/>
      <c r="I33" s="230">
        <f t="shared" si="8"/>
        <v>414864.59275587701</v>
      </c>
      <c r="J33" s="230">
        <f t="shared" si="1"/>
        <v>-34069.054765848225</v>
      </c>
      <c r="K33" s="231">
        <f t="shared" si="2"/>
        <v>-101783.65475843649</v>
      </c>
      <c r="L33" s="230">
        <f t="shared" si="9"/>
        <v>313080.93799744052</v>
      </c>
      <c r="N33" s="230">
        <f t="shared" si="3"/>
        <v>-1446.4583031803706</v>
      </c>
      <c r="O33" s="231">
        <f t="shared" si="5"/>
        <v>-4762.8844486492962</v>
      </c>
      <c r="Q33" s="231">
        <f t="shared" si="6"/>
        <v>-106546.53920708579</v>
      </c>
    </row>
    <row r="34" spans="5:17" x14ac:dyDescent="0.25">
      <c r="E34" s="5">
        <f t="shared" si="7"/>
        <v>28</v>
      </c>
      <c r="F34" s="6">
        <f t="shared" si="4"/>
        <v>46507</v>
      </c>
      <c r="G34" s="5" t="b">
        <f t="shared" si="0"/>
        <v>0</v>
      </c>
      <c r="H34" s="5"/>
      <c r="I34" s="230">
        <f t="shared" si="8"/>
        <v>313080.93799744052</v>
      </c>
      <c r="J34" s="230">
        <f t="shared" si="1"/>
        <v>-34211.009160705922</v>
      </c>
      <c r="K34" s="231">
        <f t="shared" si="2"/>
        <v>0</v>
      </c>
      <c r="L34" s="230">
        <f t="shared" si="9"/>
        <v>313080.93799744052</v>
      </c>
      <c r="N34" s="230">
        <f t="shared" si="3"/>
        <v>-1304.5039083226698</v>
      </c>
      <c r="O34" s="231">
        <f t="shared" si="5"/>
        <v>0</v>
      </c>
      <c r="Q34" s="231">
        <f t="shared" si="6"/>
        <v>0</v>
      </c>
    </row>
    <row r="35" spans="5:17" x14ac:dyDescent="0.25">
      <c r="E35" s="5">
        <f t="shared" si="7"/>
        <v>29</v>
      </c>
      <c r="F35" s="6">
        <f t="shared" si="4"/>
        <v>46538</v>
      </c>
      <c r="G35" s="5" t="b">
        <f t="shared" si="0"/>
        <v>0</v>
      </c>
      <c r="H35" s="5"/>
      <c r="I35" s="230">
        <f t="shared" si="8"/>
        <v>313080.93799744052</v>
      </c>
      <c r="J35" s="230">
        <f t="shared" si="1"/>
        <v>-34353.555032208867</v>
      </c>
      <c r="K35" s="231">
        <f t="shared" si="2"/>
        <v>0</v>
      </c>
      <c r="L35" s="230">
        <f t="shared" si="9"/>
        <v>313080.93799744052</v>
      </c>
      <c r="N35" s="230">
        <f t="shared" si="3"/>
        <v>-1161.9580368197285</v>
      </c>
      <c r="O35" s="231">
        <f t="shared" si="5"/>
        <v>0</v>
      </c>
      <c r="Q35" s="231">
        <f t="shared" si="6"/>
        <v>0</v>
      </c>
    </row>
    <row r="36" spans="5:17" x14ac:dyDescent="0.25">
      <c r="E36" s="5">
        <f t="shared" si="7"/>
        <v>30</v>
      </c>
      <c r="F36" s="6">
        <f t="shared" si="4"/>
        <v>46568</v>
      </c>
      <c r="G36" s="5" t="b">
        <f t="shared" si="0"/>
        <v>1</v>
      </c>
      <c r="H36" s="5"/>
      <c r="I36" s="230">
        <f t="shared" si="8"/>
        <v>313080.93799744052</v>
      </c>
      <c r="J36" s="230">
        <f t="shared" si="1"/>
        <v>-34496.69484484307</v>
      </c>
      <c r="K36" s="231">
        <f t="shared" si="2"/>
        <v>-103061.25903775785</v>
      </c>
      <c r="L36" s="230">
        <f t="shared" si="9"/>
        <v>210019.67895968267</v>
      </c>
      <c r="N36" s="230">
        <f t="shared" si="3"/>
        <v>-1018.8182241855251</v>
      </c>
      <c r="O36" s="231">
        <f t="shared" si="5"/>
        <v>-3485.2801693279234</v>
      </c>
      <c r="Q36" s="231">
        <f t="shared" si="6"/>
        <v>-106546.53920708576</v>
      </c>
    </row>
    <row r="37" spans="5:17" x14ac:dyDescent="0.25">
      <c r="E37" s="5">
        <f t="shared" si="7"/>
        <v>31</v>
      </c>
      <c r="F37" s="6">
        <f t="shared" si="4"/>
        <v>46599</v>
      </c>
      <c r="G37" s="5" t="b">
        <f t="shared" si="0"/>
        <v>0</v>
      </c>
      <c r="H37" s="5"/>
      <c r="I37" s="230">
        <f t="shared" si="8"/>
        <v>210019.67895968267</v>
      </c>
      <c r="J37" s="230">
        <f t="shared" si="1"/>
        <v>-34640.431073363252</v>
      </c>
      <c r="K37" s="231">
        <f t="shared" si="2"/>
        <v>0</v>
      </c>
      <c r="L37" s="230">
        <f t="shared" si="9"/>
        <v>210019.67895968267</v>
      </c>
      <c r="N37" s="230">
        <f t="shared" si="3"/>
        <v>-875.08199566534552</v>
      </c>
      <c r="O37" s="231">
        <f t="shared" si="5"/>
        <v>0</v>
      </c>
      <c r="Q37" s="231">
        <f t="shared" si="6"/>
        <v>0</v>
      </c>
    </row>
    <row r="38" spans="5:17" x14ac:dyDescent="0.25">
      <c r="E38" s="5">
        <f t="shared" si="7"/>
        <v>32</v>
      </c>
      <c r="F38" s="6">
        <f t="shared" si="4"/>
        <v>46630</v>
      </c>
      <c r="G38" s="5" t="b">
        <f t="shared" si="0"/>
        <v>0</v>
      </c>
      <c r="H38" s="5"/>
      <c r="I38" s="230">
        <f t="shared" si="8"/>
        <v>210019.67895968267</v>
      </c>
      <c r="J38" s="230">
        <f t="shared" si="1"/>
        <v>-34784.766202835592</v>
      </c>
      <c r="K38" s="231">
        <f t="shared" si="2"/>
        <v>0</v>
      </c>
      <c r="L38" s="230">
        <f t="shared" si="9"/>
        <v>210019.67895968267</v>
      </c>
      <c r="N38" s="230">
        <f t="shared" si="3"/>
        <v>-730.7468661929986</v>
      </c>
      <c r="O38" s="231">
        <f t="shared" si="5"/>
        <v>0</v>
      </c>
      <c r="Q38" s="231">
        <f t="shared" si="6"/>
        <v>0</v>
      </c>
    </row>
    <row r="39" spans="5:17" x14ac:dyDescent="0.25">
      <c r="E39" s="5">
        <f t="shared" si="7"/>
        <v>33</v>
      </c>
      <c r="F39" s="6">
        <f t="shared" si="4"/>
        <v>46660</v>
      </c>
      <c r="G39" s="5" t="b">
        <f t="shared" si="0"/>
        <v>1</v>
      </c>
      <c r="H39" s="5"/>
      <c r="I39" s="230">
        <f t="shared" si="8"/>
        <v>210019.67895968267</v>
      </c>
      <c r="J39" s="230">
        <f t="shared" si="1"/>
        <v>-34929.702728680742</v>
      </c>
      <c r="K39" s="231">
        <f t="shared" si="2"/>
        <v>-104354.90000487959</v>
      </c>
      <c r="L39" s="230">
        <f t="shared" si="9"/>
        <v>105664.77895480309</v>
      </c>
      <c r="N39" s="230">
        <f t="shared" si="3"/>
        <v>-585.81034034785046</v>
      </c>
      <c r="O39" s="231">
        <f t="shared" si="5"/>
        <v>-2191.6392022061946</v>
      </c>
      <c r="Q39" s="231">
        <f t="shared" si="6"/>
        <v>-106546.53920708578</v>
      </c>
    </row>
    <row r="40" spans="5:17" x14ac:dyDescent="0.25">
      <c r="E40" s="5">
        <f t="shared" si="7"/>
        <v>34</v>
      </c>
      <c r="F40" s="6">
        <f t="shared" si="4"/>
        <v>46691</v>
      </c>
      <c r="G40" s="5" t="b">
        <f t="shared" si="0"/>
        <v>0</v>
      </c>
      <c r="H40" s="5"/>
      <c r="I40" s="230">
        <f t="shared" si="8"/>
        <v>105664.77895480309</v>
      </c>
      <c r="J40" s="230">
        <f t="shared" si="1"/>
        <v>-35075.243156716911</v>
      </c>
      <c r="K40" s="231">
        <f t="shared" si="2"/>
        <v>0</v>
      </c>
      <c r="L40" s="230">
        <f t="shared" si="9"/>
        <v>105664.77895480309</v>
      </c>
      <c r="N40" s="230">
        <f t="shared" si="3"/>
        <v>-440.26991231168068</v>
      </c>
      <c r="O40" s="231">
        <f t="shared" si="5"/>
        <v>0</v>
      </c>
      <c r="Q40" s="231">
        <f t="shared" si="6"/>
        <v>0</v>
      </c>
    </row>
    <row r="41" spans="5:17" x14ac:dyDescent="0.25">
      <c r="E41" s="5">
        <f t="shared" si="7"/>
        <v>35</v>
      </c>
      <c r="F41" s="6">
        <f t="shared" si="4"/>
        <v>46721</v>
      </c>
      <c r="G41" s="5" t="b">
        <f t="shared" si="0"/>
        <v>0</v>
      </c>
      <c r="H41" s="5"/>
      <c r="I41" s="230">
        <f t="shared" si="8"/>
        <v>105664.77895480309</v>
      </c>
      <c r="J41" s="230">
        <f t="shared" si="1"/>
        <v>-35221.390003203232</v>
      </c>
      <c r="K41" s="231">
        <f t="shared" si="2"/>
        <v>0</v>
      </c>
      <c r="L41" s="230">
        <f t="shared" si="9"/>
        <v>105664.77895480309</v>
      </c>
      <c r="N41" s="230">
        <f t="shared" si="3"/>
        <v>-294.12306582536024</v>
      </c>
      <c r="O41" s="231">
        <f t="shared" si="5"/>
        <v>0</v>
      </c>
      <c r="Q41" s="231">
        <f t="shared" si="6"/>
        <v>0</v>
      </c>
    </row>
    <row r="42" spans="5:17" x14ac:dyDescent="0.25">
      <c r="E42" s="5">
        <f t="shared" si="7"/>
        <v>36</v>
      </c>
      <c r="F42" s="6">
        <f t="shared" si="4"/>
        <v>46752</v>
      </c>
      <c r="G42" s="5" t="b">
        <f t="shared" si="0"/>
        <v>1</v>
      </c>
      <c r="H42" s="5"/>
      <c r="I42" s="230">
        <f t="shared" si="8"/>
        <v>105664.77895480309</v>
      </c>
      <c r="J42" s="230">
        <f t="shared" si="1"/>
        <v>-35368.145794883247</v>
      </c>
      <c r="K42" s="231">
        <f t="shared" si="2"/>
        <v>-105664.77895480339</v>
      </c>
      <c r="L42" s="230">
        <f t="shared" si="9"/>
        <v>-3.0559021979570389E-10</v>
      </c>
      <c r="N42" s="230">
        <f t="shared" si="3"/>
        <v>-147.36727414534684</v>
      </c>
      <c r="O42" s="231">
        <f t="shared" si="5"/>
        <v>-881.7602522823878</v>
      </c>
      <c r="Q42" s="231">
        <f t="shared" si="6"/>
        <v>-106546.53920708578</v>
      </c>
    </row>
    <row r="43" spans="5:17" ht="4.5" customHeight="1" x14ac:dyDescent="0.25">
      <c r="E43" s="235"/>
      <c r="F43" s="235"/>
      <c r="G43" s="235"/>
      <c r="H43" s="235"/>
      <c r="I43" s="235"/>
      <c r="J43" s="235"/>
      <c r="K43" s="235"/>
      <c r="L43" s="24"/>
      <c r="M43" s="235"/>
      <c r="N43" s="24"/>
      <c r="O43" s="24"/>
      <c r="P43" s="24"/>
      <c r="Q43" s="24"/>
    </row>
    <row r="44" spans="5:17" x14ac:dyDescent="0.25">
      <c r="J44" s="234">
        <f>-SUM(J7:J42)</f>
        <v>1185000</v>
      </c>
      <c r="K44" s="234">
        <f>-SUM(K7:K42)</f>
        <v>1185000.0000000005</v>
      </c>
      <c r="L44" s="234"/>
      <c r="N44" s="234">
        <f>-SUM(N7:N42)</f>
        <v>93558.470485028956</v>
      </c>
      <c r="O44" s="234">
        <f>-SUM(O7:O42)</f>
        <v>93558.470485028913</v>
      </c>
      <c r="Q44" s="234">
        <f>-SUM(Q7:Q42)</f>
        <v>1278558.470485029</v>
      </c>
    </row>
  </sheetData>
  <conditionalFormatting sqref="C7:C9">
    <cfRule type="expression" dxfId="57" priority="1">
      <formula>Print_Ready_Toggle="OFF"</formula>
    </cfRule>
  </conditionalFormatting>
  <conditionalFormatting sqref="C11:C12">
    <cfRule type="expression" dxfId="56" priority="3">
      <formula>Print_Ready_Toggle="OFF"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19</vt:i4>
      </vt:variant>
    </vt:vector>
  </HeadingPairs>
  <TitlesOfParts>
    <vt:vector size="30" baseType="lpstr">
      <vt:lpstr>Assumptions</vt:lpstr>
      <vt:lpstr>Cash_Flow_Forecast</vt:lpstr>
      <vt:lpstr>P&amp;L_Forecast</vt:lpstr>
      <vt:lpstr>Support_Schedules&gt;</vt:lpstr>
      <vt:lpstr>Sales_Forecast</vt:lpstr>
      <vt:lpstr>Payroll</vt:lpstr>
      <vt:lpstr>AR_Aging</vt:lpstr>
      <vt:lpstr>AP_Aging</vt:lpstr>
      <vt:lpstr>Cost_Expense_Fcst</vt:lpstr>
      <vt:lpstr>Capex</vt:lpstr>
      <vt:lpstr>Debt_Service</vt:lpstr>
      <vt:lpstr>Bonus_Month</vt:lpstr>
      <vt:lpstr>Bonus_Percentage</vt:lpstr>
      <vt:lpstr>Company_Name</vt:lpstr>
      <vt:lpstr>Currency_Denominator</vt:lpstr>
      <vt:lpstr>Currency_Disclaimer</vt:lpstr>
      <vt:lpstr>Gross_Margin</vt:lpstr>
      <vt:lpstr>Gross_Profit</vt:lpstr>
      <vt:lpstr>Net_Cash_Flow</vt:lpstr>
      <vt:lpstr>Net_Margin</vt:lpstr>
      <vt:lpstr>NFL_Confidential_Toggle</vt:lpstr>
      <vt:lpstr>Price_Increase</vt:lpstr>
      <vt:lpstr>Salary_Deductions</vt:lpstr>
      <vt:lpstr>Tax_Rate</vt:lpstr>
      <vt:lpstr>Total_Cash_Receipts</vt:lpstr>
      <vt:lpstr>Total_COGS</vt:lpstr>
      <vt:lpstr>Total_Direct_Labor</vt:lpstr>
      <vt:lpstr>Total_Sales</vt:lpstr>
      <vt:lpstr>Total_Wages_Benefits</vt:lpstr>
      <vt:lpstr>Utilities_Minimum_Spend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Wilson</dc:creator>
  <cp:lastModifiedBy>NINA WILSON</cp:lastModifiedBy>
  <dcterms:created xsi:type="dcterms:W3CDTF">2025-02-01T19:34:14Z</dcterms:created>
  <dcterms:modified xsi:type="dcterms:W3CDTF">2026-05-13T14:54:37Z</dcterms:modified>
</cp:coreProperties>
</file>